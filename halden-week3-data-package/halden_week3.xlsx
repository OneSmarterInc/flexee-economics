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refinery_costs" sheetId="2" state="visible" r:id="rId4"/>
    <sheet name="D_rotterdam_restart" sheetId="3" state="visible" r:id="rId5"/>
    <sheet name="D_window1_params" sheetId="4" state="visible" r:id="rId6"/>
    <sheet name="D_cohort_states" sheetId="5" state="visible" r:id="rId7"/>
    <sheet name="D_crack_history" sheetId="6" state="visible" r:id="rId8"/>
    <sheet name="D_jv_governance" sheetId="7" state="visible" r:id="rId9"/>
    <sheet name="D_worked_example_plant" sheetId="8" state="visible" r:id="rId10"/>
    <sheet name="Worked Example" sheetId="9" state="visible" r:id="rId11"/>
    <sheet name="Your Analysi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<sst xmlns="http://schemas.openxmlformats.org/spreadsheetml/2006/main" count="68" uniqueCount="56">
  <si>
    <t xml:space="preserve">Halden Energy — Week 3: Run rates and the shutdown point</t>
  </si>
  <si>
    <t xml:space="preserve">Set run rates for all three refineries. The real question is whether Rotterdam should run at all.</t>
  </si>
  <si>
    <t xml:space="preserve">Rotterdam loses money but covers its variable cost. Idling saves only the avoidable part of fixed cost and forfeits the contribution.</t>
  </si>
  <si>
    <t xml:space="preserve">Cohort feedback window 1: the class's combined European run rates set the Northwest Europe crack you all face in Week 5.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</si>
  <si>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</si>
  <si>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</si>
  <si>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refinery</t>
  </si>
  <si>
    <t xml:space="preserve">crack</t>
  </si>
  <si>
    <t xml:space="preserve">complexity</t>
  </si>
  <si>
    <t xml:space="preserve">variable_cost</t>
  </si>
  <si>
    <t xml:space="preserve">fixed_cost</t>
  </si>
  <si>
    <t xml:space="preserve">avoidable_fixed</t>
  </si>
  <si>
    <t xml:space="preserve">halden_share</t>
  </si>
  <si>
    <t xml:space="preserve">Baton Rouge</t>
  </si>
  <si>
    <t xml:space="preserve">Rotterdam</t>
  </si>
  <si>
    <t xml:space="preserve">Singapore</t>
  </si>
  <si>
    <t xml:space="preserve">parameter</t>
  </si>
  <si>
    <t xml:space="preserve">value</t>
  </si>
  <si>
    <t xml:space="preserve">restart_cost_musd</t>
  </si>
  <si>
    <t xml:space="preserve">base_util</t>
  </si>
  <si>
    <t xml:space="preserve">base_crack</t>
  </si>
  <si>
    <t xml:space="preserve">slope</t>
  </si>
  <si>
    <t xml:space="preserve">shutdown_floor</t>
  </si>
  <si>
    <t xml:space="preserve">state</t>
  </si>
  <si>
    <t xml:space="preserve">util</t>
  </si>
  <si>
    <t xml:space="preserve">runs_hard</t>
  </si>
  <si>
    <t xml:space="preserve">base</t>
  </si>
  <si>
    <t xml:space="preserve">disciplines</t>
  </si>
  <si>
    <t xml:space="preserve">month</t>
  </si>
  <si>
    <t xml:space="preserve">gulf_coast</t>
  </si>
  <si>
    <t xml:space="preserve">nwe</t>
  </si>
  <si>
    <t xml:space="preserve">singapore</t>
  </si>
  <si>
    <t xml:space="preserve">partner_share</t>
  </si>
  <si>
    <t xml:space="preserve">halden_controls_run_rate</t>
  </si>
  <si>
    <t xml:space="preserve">Worked Example — solved on adjacent data. Study the method, then do Your Analysis.</t>
  </si>
  <si>
    <t xml:space="preserve">A plant where avoidable fixed cost (0.60) exceeds contribution (0.50): here idling IS better. Contrast it with Rotterdam.</t>
  </si>
  <si>
    <t xml:space="preserve">Plant contribution over variable cost</t>
  </si>
  <si>
    <t xml:space="preserve">Plant net margin</t>
  </si>
  <si>
    <t xml:space="preserve">Plant shutdown crack</t>
  </si>
  <si>
    <t xml:space="preserve">Idle delta (positive = idling is better here)</t>
  </si>
  <si>
    <t xml:space="preserve">Your Analysis — fill the YELLOW cells</t>
  </si>
  <si>
    <t xml:space="preserve">Contribution = crack + complexity − variable cost. Shutdown crack = variable cost − complexity. Idle delta = −contribution + avoidable fixed.</t>
  </si>
  <si>
    <t xml:space="preserve">Baton Rouge contribution over variable cost ($/bbl)</t>
  </si>
  <si>
    <t xml:space="preserve">Rotterdam contribution over variable cost ($/bbl)</t>
  </si>
  <si>
    <t xml:space="preserve">Singapore contribution over variable cost ($/bbl)</t>
  </si>
  <si>
    <t xml:space="preserve">Baton Rouge net margin ($/bbl)</t>
  </si>
  <si>
    <t xml:space="preserve">Baton Rouge shutdown crack ($/bbl)</t>
  </si>
  <si>
    <t xml:space="preserve">Rotterdam net margin ($/bbl)</t>
  </si>
  <si>
    <t xml:space="preserve">Rotterdam shutdown crack ($/bbl)</t>
  </si>
  <si>
    <t xml:space="preserve">Singapore net margin ($/bbl)</t>
  </si>
  <si>
    <t xml:space="preserve">Singapore shutdown crack ($/bbl)</t>
  </si>
  <si>
    <t xml:space="preserve">Rotterdam: change from idling vs running ($/bbl; negative = idling is worse)</t>
  </si>
  <si>
    <t xml:space="preserve">Week 5 NWE crack if the cohort runs hard</t>
  </si>
  <si>
    <t xml:space="preserve">Week 5 NWE crack if the cohort base</t>
  </si>
  <si>
    <t xml:space="preserve">Week 5 NWE crack if the cohort disciplines</t>
  </si>
  <si>
    <t xml:space="preserve">Rotterdam net margin if the cohort disciplines ($/bbl)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</si>
</sst>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</row>
    <row r="2" customFormat="false" ht="15" hidden="false" customHeight="false" outlineLevel="0" collapsed="false">
      <c r="A2" s="4" t="s">
        <v>13</v>
      </c>
      <c r="B2" s="4" t="n">
        <v>21.5</v>
      </c>
      <c r="C2" s="4" t="n">
        <v>4.75</v>
      </c>
      <c r="D2" s="4" t="n">
        <v>3.7</v>
      </c>
      <c r="E2" s="4" t="n">
        <v>2.2</v>
      </c>
      <c r="F2" s="4" t="n">
        <v>0.8</v>
      </c>
      <c r="G2" s="4" t="n">
        <v>1</v>
      </c>
    </row>
    <row r="3" customFormat="false" ht="15" hidden="false" customHeight="false" outlineLevel="0" collapsed="false">
      <c r="A3" s="4" t="s">
        <v>14</v>
      </c>
      <c r="B3" s="4" t="n">
        <v>4.6</v>
      </c>
      <c r="C3" s="4" t="n">
        <v>1.5</v>
      </c>
      <c r="D3" s="4" t="n">
        <v>4.1</v>
      </c>
      <c r="E3" s="4" t="n">
        <v>2.3</v>
      </c>
      <c r="F3" s="4" t="n">
        <v>0.9</v>
      </c>
      <c r="G3" s="4" t="n">
        <v>1</v>
      </c>
    </row>
    <row r="4" customFormat="false" ht="15" hidden="false" customHeight="false" outlineLevel="0" collapsed="false">
      <c r="A4" s="4" t="s">
        <v>15</v>
      </c>
      <c r="B4" s="4" t="n">
        <v>12.2</v>
      </c>
      <c r="C4" s="4" t="n">
        <v>2</v>
      </c>
      <c r="D4" s="4" t="n">
        <v>3.4</v>
      </c>
      <c r="E4" s="4" t="n">
        <v>2.2</v>
      </c>
      <c r="F4" s="4" t="n">
        <v>0.8</v>
      </c>
      <c r="G4" s="4" t="n"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16</v>
      </c>
      <c r="B1" s="3" t="s">
        <v>17</v>
      </c>
    </row>
    <row r="2" customFormat="false" ht="15" hidden="false" customHeight="false" outlineLevel="0" collapsed="false">
      <c r="A2" s="4" t="s">
        <v>18</v>
      </c>
      <c r="B2" s="4" t="n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16</v>
      </c>
      <c r="B1" s="3" t="s">
        <v>17</v>
      </c>
    </row>
    <row r="2" customFormat="false" ht="15" hidden="false" customHeight="false" outlineLevel="0" collapsed="false">
      <c r="A2" s="4" t="s">
        <v>19</v>
      </c>
      <c r="B2" s="4" t="n">
        <v>0.75</v>
      </c>
    </row>
    <row r="3" customFormat="false" ht="15" hidden="false" customHeight="false" outlineLevel="0" collapsed="false">
      <c r="A3" s="4" t="s">
        <v>20</v>
      </c>
      <c r="B3" s="4" t="n">
        <v>4.6</v>
      </c>
    </row>
    <row r="4" customFormat="false" ht="15" hidden="false" customHeight="false" outlineLevel="0" collapsed="false">
      <c r="A4" s="4" t="s">
        <v>21</v>
      </c>
      <c r="B4" s="4" t="n">
        <v>9</v>
      </c>
    </row>
    <row r="5" customFormat="false" ht="15" hidden="false" customHeight="false" outlineLevel="0" collapsed="false">
      <c r="A5" s="4" t="s">
        <v>22</v>
      </c>
      <c r="B5" s="4" t="n">
        <v>2.6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23</v>
      </c>
      <c r="B1" s="3" t="s">
        <v>24</v>
      </c>
    </row>
    <row r="2" customFormat="false" ht="15" hidden="false" customHeight="false" outlineLevel="0" collapsed="false">
      <c r="A2" s="4" t="s">
        <v>25</v>
      </c>
      <c r="B2" s="4" t="n">
        <v>0.9</v>
      </c>
    </row>
    <row r="3" customFormat="false" ht="15" hidden="false" customHeight="false" outlineLevel="0" collapsed="false">
      <c r="A3" s="4" t="s">
        <v>26</v>
      </c>
      <c r="B3" s="4" t="n">
        <v>0.75</v>
      </c>
    </row>
    <row r="4" customFormat="false" ht="15" hidden="false" customHeight="false" outlineLevel="0" collapsed="false">
      <c r="A4" s="4" t="s">
        <v>27</v>
      </c>
      <c r="B4" s="4" t="n">
        <v>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15" hidden="false" customHeight="false" outlineLevel="0" collapsed="false">
      <c r="A1" s="3" t="s">
        <v>28</v>
      </c>
      <c r="B1" s="3" t="s">
        <v>29</v>
      </c>
      <c r="C1" s="3" t="s">
        <v>30</v>
      </c>
      <c r="D1" s="3" t="s">
        <v>31</v>
      </c>
    </row>
    <row r="2" customFormat="false" ht="15" hidden="false" customHeight="false" outlineLevel="0" collapsed="false">
      <c r="A2" s="4" t="n">
        <v>1</v>
      </c>
      <c r="B2" s="4" t="n">
        <v>23</v>
      </c>
      <c r="C2" s="4" t="n">
        <v>7.5</v>
      </c>
      <c r="D2" s="4" t="n">
        <v>14.2</v>
      </c>
    </row>
    <row r="3" customFormat="false" ht="15" hidden="false" customHeight="false" outlineLevel="0" collapsed="false">
      <c r="A3" s="4" t="n">
        <v>2</v>
      </c>
      <c r="B3" s="4" t="n">
        <v>24.1</v>
      </c>
      <c r="C3" s="4" t="n">
        <v>7.8</v>
      </c>
      <c r="D3" s="4" t="n">
        <v>13.98</v>
      </c>
    </row>
    <row r="4" customFormat="false" ht="15" hidden="false" customHeight="false" outlineLevel="0" collapsed="false">
      <c r="A4" s="4" t="n">
        <v>3</v>
      </c>
      <c r="B4" s="4" t="n">
        <v>24.5</v>
      </c>
      <c r="C4" s="4" t="n">
        <v>7.86</v>
      </c>
      <c r="D4" s="4" t="n">
        <v>13.28</v>
      </c>
    </row>
    <row r="5" customFormat="false" ht="15" hidden="false" customHeight="false" outlineLevel="0" collapsed="false">
      <c r="A5" s="4" t="n">
        <v>4</v>
      </c>
      <c r="B5" s="4" t="n">
        <v>24.1</v>
      </c>
      <c r="C5" s="4" t="n">
        <v>7.66</v>
      </c>
      <c r="D5" s="4" t="n">
        <v>12.29</v>
      </c>
    </row>
    <row r="6" customFormat="false" ht="15" hidden="false" customHeight="false" outlineLevel="0" collapsed="false">
      <c r="A6" s="4" t="n">
        <v>5</v>
      </c>
      <c r="B6" s="4" t="n">
        <v>23</v>
      </c>
      <c r="C6" s="4" t="n">
        <v>7.22</v>
      </c>
      <c r="D6" s="4" t="n">
        <v>11.28</v>
      </c>
    </row>
    <row r="7" customFormat="false" ht="15" hidden="false" customHeight="false" outlineLevel="0" collapsed="false">
      <c r="A7" s="4" t="n">
        <v>6</v>
      </c>
      <c r="B7" s="4" t="n">
        <v>21.5</v>
      </c>
      <c r="C7" s="4" t="n">
        <v>6.65</v>
      </c>
      <c r="D7" s="4" t="n">
        <v>10.52</v>
      </c>
    </row>
    <row r="8" customFormat="false" ht="15" hidden="false" customHeight="false" outlineLevel="0" collapsed="false">
      <c r="A8" s="4" t="n">
        <v>7</v>
      </c>
      <c r="B8" s="4" t="n">
        <v>20</v>
      </c>
      <c r="C8" s="4" t="n">
        <v>6.08</v>
      </c>
      <c r="D8" s="4" t="n">
        <v>10.2</v>
      </c>
    </row>
    <row r="9" customFormat="false" ht="15" hidden="false" customHeight="false" outlineLevel="0" collapsed="false">
      <c r="A9" s="4" t="n">
        <v>8</v>
      </c>
      <c r="B9" s="4" t="n">
        <v>18.9</v>
      </c>
      <c r="C9" s="4" t="n">
        <v>5.64</v>
      </c>
      <c r="D9" s="4" t="n">
        <v>10.42</v>
      </c>
    </row>
    <row r="10" customFormat="false" ht="15" hidden="false" customHeight="false" outlineLevel="0" collapsed="false">
      <c r="A10" s="4" t="n">
        <v>9</v>
      </c>
      <c r="B10" s="4" t="n">
        <v>18.5</v>
      </c>
      <c r="C10" s="4" t="n">
        <v>5.44</v>
      </c>
      <c r="D10" s="4" t="n">
        <v>11.12</v>
      </c>
    </row>
    <row r="11" customFormat="false" ht="15" hidden="false" customHeight="false" outlineLevel="0" collapsed="false">
      <c r="A11" s="4" t="n">
        <v>10</v>
      </c>
      <c r="B11" s="4" t="n">
        <v>18.9</v>
      </c>
      <c r="C11" s="4" t="n">
        <v>5.5</v>
      </c>
      <c r="D11" s="4" t="n">
        <v>12.11</v>
      </c>
    </row>
    <row r="12" customFormat="false" ht="15" hidden="false" customHeight="false" outlineLevel="0" collapsed="false">
      <c r="A12" s="4" t="n">
        <v>11</v>
      </c>
      <c r="B12" s="4" t="n">
        <v>20</v>
      </c>
      <c r="C12" s="4" t="n">
        <v>5.8</v>
      </c>
      <c r="D12" s="4" t="n">
        <v>13.12</v>
      </c>
    </row>
    <row r="13" customFormat="false" ht="15" hidden="false" customHeight="false" outlineLevel="0" collapsed="false">
      <c r="A13" s="4" t="n">
        <v>12</v>
      </c>
      <c r="B13" s="4" t="n">
        <v>21.5</v>
      </c>
      <c r="C13" s="4" t="n">
        <v>6.23</v>
      </c>
      <c r="D13" s="4" t="n">
        <v>13.88</v>
      </c>
    </row>
    <row r="14" customFormat="false" ht="15" hidden="false" customHeight="false" outlineLevel="0" collapsed="false">
      <c r="A14" s="4" t="n">
        <v>13</v>
      </c>
      <c r="B14" s="4" t="n">
        <v>23</v>
      </c>
      <c r="C14" s="4" t="n">
        <v>6.66</v>
      </c>
      <c r="D14" s="4" t="n">
        <v>14.2</v>
      </c>
    </row>
    <row r="15" customFormat="false" ht="15" hidden="false" customHeight="false" outlineLevel="0" collapsed="false">
      <c r="A15" s="4" t="n">
        <v>14</v>
      </c>
      <c r="B15" s="4" t="n">
        <v>24.1</v>
      </c>
      <c r="C15" s="4" t="n">
        <v>6.96</v>
      </c>
      <c r="D15" s="4" t="n">
        <v>13.98</v>
      </c>
    </row>
    <row r="16" customFormat="false" ht="15" hidden="false" customHeight="false" outlineLevel="0" collapsed="false">
      <c r="A16" s="4" t="n">
        <v>15</v>
      </c>
      <c r="B16" s="4" t="n">
        <v>24.5</v>
      </c>
      <c r="C16" s="4" t="n">
        <v>7.02</v>
      </c>
      <c r="D16" s="4" t="n">
        <v>13.28</v>
      </c>
    </row>
    <row r="17" customFormat="false" ht="15" hidden="false" customHeight="false" outlineLevel="0" collapsed="false">
      <c r="A17" s="4" t="n">
        <v>16</v>
      </c>
      <c r="B17" s="4" t="n">
        <v>24.1</v>
      </c>
      <c r="C17" s="4" t="n">
        <v>6.82</v>
      </c>
      <c r="D17" s="4" t="n">
        <v>12.29</v>
      </c>
    </row>
    <row r="18" customFormat="false" ht="15" hidden="false" customHeight="false" outlineLevel="0" collapsed="false">
      <c r="A18" s="4" t="n">
        <v>17</v>
      </c>
      <c r="B18" s="4" t="n">
        <v>23</v>
      </c>
      <c r="C18" s="4" t="n">
        <v>6.38</v>
      </c>
      <c r="D18" s="4" t="n">
        <v>11.28</v>
      </c>
    </row>
    <row r="19" customFormat="false" ht="15" hidden="false" customHeight="false" outlineLevel="0" collapsed="false">
      <c r="A19" s="4" t="n">
        <v>18</v>
      </c>
      <c r="B19" s="4" t="n">
        <v>21.5</v>
      </c>
      <c r="C19" s="4" t="n">
        <v>5.81</v>
      </c>
      <c r="D19" s="4" t="n">
        <v>10.52</v>
      </c>
    </row>
    <row r="20" customFormat="false" ht="15" hidden="false" customHeight="false" outlineLevel="0" collapsed="false">
      <c r="A20" s="4" t="n">
        <v>19</v>
      </c>
      <c r="B20" s="4" t="n">
        <v>20</v>
      </c>
      <c r="C20" s="4" t="n">
        <v>5.24</v>
      </c>
      <c r="D20" s="4" t="n">
        <v>10.2</v>
      </c>
    </row>
    <row r="21" customFormat="false" ht="15" hidden="false" customHeight="false" outlineLevel="0" collapsed="false">
      <c r="A21" s="4" t="n">
        <v>20</v>
      </c>
      <c r="B21" s="4" t="n">
        <v>18.9</v>
      </c>
      <c r="C21" s="4" t="n">
        <v>4.8</v>
      </c>
      <c r="D21" s="4" t="n">
        <v>10.42</v>
      </c>
    </row>
    <row r="22" customFormat="false" ht="15" hidden="false" customHeight="false" outlineLevel="0" collapsed="false">
      <c r="A22" s="4" t="n">
        <v>21</v>
      </c>
      <c r="B22" s="4" t="n">
        <v>18.5</v>
      </c>
      <c r="C22" s="4" t="n">
        <v>4.6</v>
      </c>
      <c r="D22" s="4" t="n">
        <v>11.12</v>
      </c>
    </row>
    <row r="23" customFormat="false" ht="15" hidden="false" customHeight="false" outlineLevel="0" collapsed="false">
      <c r="A23" s="4" t="n">
        <v>22</v>
      </c>
      <c r="B23" s="4" t="n">
        <v>18.9</v>
      </c>
      <c r="C23" s="4" t="n">
        <v>4.66</v>
      </c>
      <c r="D23" s="4" t="n">
        <v>12.11</v>
      </c>
    </row>
    <row r="24" customFormat="false" ht="15" hidden="false" customHeight="false" outlineLevel="0" collapsed="false">
      <c r="A24" s="4" t="n">
        <v>23</v>
      </c>
      <c r="B24" s="4" t="n">
        <v>20</v>
      </c>
      <c r="C24" s="4" t="n">
        <v>4.96</v>
      </c>
      <c r="D24" s="4" t="n">
        <v>13.12</v>
      </c>
    </row>
    <row r="25" customFormat="false" ht="15" hidden="false" customHeight="false" outlineLevel="0" collapsed="false">
      <c r="A25" s="4" t="n">
        <v>24</v>
      </c>
      <c r="B25" s="4" t="n">
        <v>21.5</v>
      </c>
      <c r="C25" s="4" t="n">
        <v>5.39</v>
      </c>
      <c r="D25" s="4" t="n">
        <v>13.88</v>
      </c>
    </row>
    <row r="26" customFormat="false" ht="15" hidden="false" customHeight="false" outlineLevel="0" collapsed="false">
      <c r="A26" s="4" t="n">
        <v>25</v>
      </c>
      <c r="B26" s="4" t="n">
        <v>23</v>
      </c>
      <c r="C26" s="4" t="n">
        <v>5.82</v>
      </c>
      <c r="D26" s="4" t="n">
        <v>14.2</v>
      </c>
    </row>
    <row r="27" customFormat="false" ht="15" hidden="false" customHeight="false" outlineLevel="0" collapsed="false">
      <c r="A27" s="4" t="n">
        <v>26</v>
      </c>
      <c r="B27" s="4" t="n">
        <v>24.1</v>
      </c>
      <c r="C27" s="4" t="n">
        <v>6.12</v>
      </c>
      <c r="D27" s="4" t="n">
        <v>13.98</v>
      </c>
    </row>
    <row r="28" customFormat="false" ht="15" hidden="false" customHeight="false" outlineLevel="0" collapsed="false">
      <c r="A28" s="4" t="n">
        <v>27</v>
      </c>
      <c r="B28" s="4" t="n">
        <v>24.5</v>
      </c>
      <c r="C28" s="4" t="n">
        <v>6.18</v>
      </c>
      <c r="D28" s="4" t="n">
        <v>13.28</v>
      </c>
    </row>
    <row r="29" customFormat="false" ht="15" hidden="false" customHeight="false" outlineLevel="0" collapsed="false">
      <c r="A29" s="4" t="n">
        <v>28</v>
      </c>
      <c r="B29" s="4" t="n">
        <v>24.1</v>
      </c>
      <c r="C29" s="4" t="n">
        <v>5.98</v>
      </c>
      <c r="D29" s="4" t="n">
        <v>12.29</v>
      </c>
    </row>
    <row r="30" customFormat="false" ht="15" hidden="false" customHeight="false" outlineLevel="0" collapsed="false">
      <c r="A30" s="4" t="n">
        <v>29</v>
      </c>
      <c r="B30" s="4" t="n">
        <v>23</v>
      </c>
      <c r="C30" s="4" t="n">
        <v>5.54</v>
      </c>
      <c r="D30" s="4" t="n">
        <v>11.28</v>
      </c>
    </row>
    <row r="31" customFormat="false" ht="15" hidden="false" customHeight="false" outlineLevel="0" collapsed="false">
      <c r="A31" s="4" t="n">
        <v>30</v>
      </c>
      <c r="B31" s="4" t="n">
        <v>21.5</v>
      </c>
      <c r="C31" s="4" t="n">
        <v>4.97</v>
      </c>
      <c r="D31" s="4" t="n">
        <v>10.52</v>
      </c>
    </row>
    <row r="32" customFormat="false" ht="15" hidden="false" customHeight="false" outlineLevel="0" collapsed="false">
      <c r="A32" s="4" t="n">
        <v>31</v>
      </c>
      <c r="B32" s="4" t="n">
        <v>20</v>
      </c>
      <c r="C32" s="4" t="n">
        <v>4.4</v>
      </c>
      <c r="D32" s="4" t="n">
        <v>10.2</v>
      </c>
    </row>
    <row r="33" customFormat="false" ht="15" hidden="false" customHeight="false" outlineLevel="0" collapsed="false">
      <c r="A33" s="4" t="n">
        <v>32</v>
      </c>
      <c r="B33" s="4" t="n">
        <v>18.9</v>
      </c>
      <c r="C33" s="4" t="n">
        <v>3.96</v>
      </c>
      <c r="D33" s="4" t="n">
        <v>10.42</v>
      </c>
    </row>
    <row r="34" customFormat="false" ht="15" hidden="false" customHeight="false" outlineLevel="0" collapsed="false">
      <c r="A34" s="4" t="n">
        <v>33</v>
      </c>
      <c r="B34" s="4" t="n">
        <v>18.5</v>
      </c>
      <c r="C34" s="4" t="n">
        <v>3.76</v>
      </c>
      <c r="D34" s="4" t="n">
        <v>11.12</v>
      </c>
    </row>
    <row r="35" customFormat="false" ht="15" hidden="false" customHeight="false" outlineLevel="0" collapsed="false">
      <c r="A35" s="4" t="n">
        <v>34</v>
      </c>
      <c r="B35" s="4" t="n">
        <v>18.9</v>
      </c>
      <c r="C35" s="4" t="n">
        <v>3.82</v>
      </c>
      <c r="D35" s="4" t="n">
        <v>12.11</v>
      </c>
    </row>
    <row r="36" customFormat="false" ht="15" hidden="false" customHeight="false" outlineLevel="0" collapsed="false">
      <c r="A36" s="4" t="n">
        <v>35</v>
      </c>
      <c r="B36" s="4" t="n">
        <v>20</v>
      </c>
      <c r="C36" s="4" t="n">
        <v>4.12</v>
      </c>
      <c r="D36" s="4" t="n">
        <v>13.12</v>
      </c>
    </row>
    <row r="37" customFormat="false" ht="15" hidden="false" customHeight="false" outlineLevel="0" collapsed="false">
      <c r="A37" s="4" t="n">
        <v>36</v>
      </c>
      <c r="B37" s="4" t="n">
        <v>21.5</v>
      </c>
      <c r="C37" s="4" t="n">
        <v>4.55</v>
      </c>
      <c r="D37" s="4" t="n">
        <v>13.88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16</v>
      </c>
      <c r="B1" s="3" t="s">
        <v>17</v>
      </c>
    </row>
    <row r="2" customFormat="false" ht="15" hidden="false" customHeight="false" outlineLevel="0" collapsed="false">
      <c r="A2" s="4" t="s">
        <v>12</v>
      </c>
      <c r="B2" s="4" t="n">
        <v>0.4</v>
      </c>
    </row>
    <row r="3" customFormat="false" ht="15" hidden="false" customHeight="false" outlineLevel="0" collapsed="false">
      <c r="A3" s="4" t="s">
        <v>32</v>
      </c>
      <c r="B3" s="4" t="n">
        <v>0.6</v>
      </c>
    </row>
    <row r="4" customFormat="false" ht="15" hidden="false" customHeight="false" outlineLevel="0" collapsed="false">
      <c r="A4" s="4" t="s">
        <v>33</v>
      </c>
      <c r="B4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16</v>
      </c>
      <c r="B1" s="3" t="s">
        <v>17</v>
      </c>
    </row>
    <row r="2" customFormat="false" ht="15" hidden="false" customHeight="false" outlineLevel="0" collapsed="false">
      <c r="A2" s="4" t="s">
        <v>7</v>
      </c>
      <c r="B2" s="4" t="n">
        <v>3</v>
      </c>
    </row>
    <row r="3" customFormat="false" ht="15" hidden="false" customHeight="false" outlineLevel="0" collapsed="false">
      <c r="A3" s="4" t="s">
        <v>8</v>
      </c>
      <c r="B3" s="4" t="n">
        <v>1</v>
      </c>
    </row>
    <row r="4" customFormat="false" ht="15" hidden="false" customHeight="false" outlineLevel="0" collapsed="false">
      <c r="A4" s="4" t="s">
        <v>9</v>
      </c>
      <c r="B4" s="4" t="n">
        <v>3.5</v>
      </c>
    </row>
    <row r="5" customFormat="false" ht="15" hidden="false" customHeight="false" outlineLevel="0" collapsed="false">
      <c r="A5" s="4" t="s">
        <v>10</v>
      </c>
      <c r="B5" s="4" t="n">
        <v>1.5</v>
      </c>
    </row>
    <row r="6" customFormat="false" ht="15" hidden="false" customHeight="false" outlineLevel="0" collapsed="false">
      <c r="A6" s="4" t="s">
        <v>11</v>
      </c>
      <c r="B6" s="4" t="n">
        <v>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34</v>
      </c>
    </row>
    <row r="2" customFormat="false" ht="15" hidden="false" customHeight="false" outlineLevel="0" collapsed="false">
      <c r="A2" s="5" t="s">
        <v>35</v>
      </c>
    </row>
    <row r="4" customFormat="false" ht="15" hidden="false" customHeight="false" outlineLevel="0" collapsed="false">
      <c r="A4" s="2" t="s">
        <v>36</v>
      </c>
      <c r="B4" s="6" t="n">
        <f aca="false">D_worked_example_plant!B2+D_worked_example_plant!B3-D_worked_example_plant!B4</f>
        <v>0.5</v>
      </c>
    </row>
    <row r="5" customFormat="false" ht="15" hidden="false" customHeight="false" outlineLevel="0" collapsed="false">
      <c r="A5" s="2" t="s">
        <v>37</v>
      </c>
      <c r="B5" s="6" t="n">
        <f aca="false">D_worked_example_plant!B2+D_worked_example_plant!B3-D_worked_example_plant!B4-D_worked_example_plant!B5</f>
        <v>-1</v>
      </c>
    </row>
    <row r="6" customFormat="false" ht="15" hidden="false" customHeight="false" outlineLevel="0" collapsed="false">
      <c r="A6" s="2" t="s">
        <v>38</v>
      </c>
      <c r="B6" s="6" t="n">
        <f aca="false">D_worked_example_plant!B4-D_worked_example_plant!B3</f>
        <v>2.5</v>
      </c>
    </row>
    <row r="7" customFormat="false" ht="15" hidden="false" customHeight="false" outlineLevel="0" collapsed="false">
      <c r="A7" s="2" t="s">
        <v>39</v>
      </c>
      <c r="B7" s="6" t="n">
        <f aca="false">-(D_worked_example_plant!B2+D_worked_example_plant!B3-D_worked_example_plant!B4)+D_worked_example_plant!B6</f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40</v>
      </c>
    </row>
    <row r="2" customFormat="false" ht="15" hidden="false" customHeight="false" outlineLevel="0" collapsed="false">
      <c r="A2" s="5" t="s">
        <v>41</v>
      </c>
    </row>
    <row r="4" customFormat="false" ht="15" hidden="false" customHeight="false" outlineLevel="0" collapsed="false">
      <c r="A4" s="2" t="s">
        <v>42</v>
      </c>
      <c r="B4" s="7"/>
    </row>
    <row r="5" customFormat="false" ht="15" hidden="false" customHeight="false" outlineLevel="0" collapsed="false">
      <c r="A5" s="2" t="s">
        <v>43</v>
      </c>
      <c r="B5" s="7"/>
    </row>
    <row r="6" customFormat="false" ht="15" hidden="false" customHeight="false" outlineLevel="0" collapsed="false">
      <c r="A6" s="2" t="s">
        <v>44</v>
      </c>
      <c r="B6" s="7"/>
    </row>
    <row r="7" customFormat="false" ht="15" hidden="false" customHeight="false" outlineLevel="0" collapsed="false">
      <c r="A7" s="2" t="s">
        <v>45</v>
      </c>
      <c r="B7" s="7"/>
    </row>
    <row r="8" customFormat="false" ht="15" hidden="false" customHeight="false" outlineLevel="0" collapsed="false">
      <c r="A8" s="2" t="s">
        <v>46</v>
      </c>
      <c r="B8" s="7"/>
    </row>
    <row r="9" customFormat="false" ht="15" hidden="false" customHeight="false" outlineLevel="0" collapsed="false">
      <c r="A9" s="2" t="s">
        <v>47</v>
      </c>
      <c r="B9" s="7"/>
    </row>
    <row r="10" customFormat="false" ht="15" hidden="false" customHeight="false" outlineLevel="0" collapsed="false">
      <c r="A10" s="2" t="s">
        <v>48</v>
      </c>
      <c r="B10" s="7"/>
    </row>
    <row r="11" customFormat="false" ht="15" hidden="false" customHeight="false" outlineLevel="0" collapsed="false">
      <c r="A11" s="2" t="s">
        <v>49</v>
      </c>
      <c r="B11" s="7"/>
    </row>
    <row r="12" customFormat="false" ht="15" hidden="false" customHeight="false" outlineLevel="0" collapsed="false">
      <c r="A12" s="2" t="s">
        <v>50</v>
      </c>
      <c r="B12" s="7"/>
    </row>
    <row r="13" customFormat="false" ht="15" hidden="false" customHeight="false" outlineLevel="0" collapsed="false">
      <c r="A13" s="2" t="s">
        <v>51</v>
      </c>
      <c r="B13" s="7"/>
    </row>
    <row r="14" customFormat="false" ht="15" hidden="false" customHeight="false" outlineLevel="0" collapsed="false">
      <c r="A14" s="2" t="s">
        <v>52</v>
      </c>
      <c r="B14" s="7"/>
    </row>
    <row r="15" customFormat="false" ht="15" hidden="false" customHeight="false" outlineLevel="0" collapsed="false">
      <c r="A15" s="2" t="s">
        <v>53</v>
      </c>
      <c r="B15" s="7"/>
    </row>
    <row r="16" customFormat="false" ht="15" hidden="false" customHeight="false" outlineLevel="0" collapsed="false">
      <c r="A16" s="2" t="s">
        <v>54</v>
      </c>
      <c r="B16" s="7"/>
    </row>
    <row r="17" customFormat="false" ht="15" hidden="false" customHeight="false" outlineLevel="0" collapsed="false">
      <c r="A17" s="2" t="s">
        <v>55</v>
      </c>
      <c r="B1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2026-09-25T09:26:05Z</dcterms:created>
  <dc:creator>openpyxl</dc:creator>
  <dc:description/>
  <dc:language>en-US</dc:language>
  <cp:lastModifiedBy/>
  <dcterms:modified xsi:type="dcterms:W3CDTF">2026-09-25T09:26:05Z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