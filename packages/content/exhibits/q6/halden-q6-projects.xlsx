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 — Projects" sheetId="2" state="visible" r:id="rId2"/>
    <sheet xmlns:r="http://schemas.openxmlformats.org/officeDocument/2006/relationships" name="Data — Adjustments" sheetId="3" state="visible" r:id="rId3"/>
    <sheet xmlns:r="http://schemas.openxmlformats.org/officeDocument/2006/relationships" name="Worked Example" sheetId="4" state="visible" r:id="rId4"/>
    <sheet xmlns:r="http://schemas.openxmlformats.org/officeDocument/2006/relationships" name="Your Analysis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0.0%"/>
    <numFmt numFmtId="165" formatCode="\$#,##0"/>
  </numFmts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color rgb="FF0000FF"/>
      <sz val="10"/>
    </font>
    <font>
      <name val="Arial"/>
      <family val="2"/>
      <sz val="10"/>
    </font>
    <font>
      <name val="Arial"/>
      <charset val="1"/>
      <family val="0"/>
      <i val="1"/>
      <color rgb="FF555555"/>
      <sz val="9"/>
    </font>
    <font>
      <name val="Arial"/>
      <charset val="1"/>
      <family val="0"/>
      <color rgb="FF000000"/>
      <sz val="10"/>
    </font>
  </fonts>
  <fills count="4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center" vertical="bottom"/>
    </xf>
    <xf numFmtId="0" fontId="9" fillId="0" borderId="0" applyAlignment="1" pivotButton="0" quotePrefix="0" xfId="0">
      <alignment horizontal="general" vertical="bottom"/>
    </xf>
    <xf numFmtId="10" fontId="9" fillId="0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165" fontId="12" fillId="0" borderId="0" applyAlignment="1" pivotButton="0" quotePrefix="0" xfId="0">
      <alignment horizontal="general" vertical="bottom"/>
    </xf>
    <xf numFmtId="164" fontId="12" fillId="0" borderId="0" applyAlignment="1" pivotButton="0" quotePrefix="0" xfId="0">
      <alignment horizontal="general" vertical="bottom"/>
    </xf>
    <xf numFmtId="10" fontId="12" fillId="3" borderId="0" applyAlignment="1" pivotButton="0" quotePrefix="0" xfId="0">
      <alignment horizontal="general" vertical="bottom"/>
    </xf>
    <xf numFmtId="165" fontId="12" fillId="3" borderId="0" applyAlignment="1" pivotButton="0" quotePrefix="0" xfId="0">
      <alignment horizontal="general" vertical="bottom"/>
    </xf>
    <xf numFmtId="164" fontId="12" fillId="3" borderId="0" applyAlignment="1" pivotButton="0" quotePrefix="0" xfId="0">
      <alignment horizontal="general" vertical="bottom"/>
    </xf>
    <xf numFmtId="0" fontId="12" fillId="3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center" vertical="bottom"/>
    </xf>
    <xf numFmtId="0" fontId="9" fillId="0" borderId="0" applyAlignment="1" pivotButton="0" quotePrefix="0" xfId="0">
      <alignment horizontal="general" vertical="bottom"/>
    </xf>
    <xf numFmtId="10" fontId="9" fillId="0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165" fontId="12" fillId="0" borderId="0" applyAlignment="1" pivotButton="0" quotePrefix="0" xfId="0">
      <alignment horizontal="general" vertical="bottom"/>
    </xf>
    <xf numFmtId="164" fontId="12" fillId="0" borderId="0" applyAlignment="1" pivotButton="0" quotePrefix="0" xfId="0">
      <alignment horizontal="general" vertical="bottom"/>
    </xf>
    <xf numFmtId="10" fontId="12" fillId="3" borderId="0" applyAlignment="1" pivotButton="0" quotePrefix="0" xfId="0">
      <alignment horizontal="general" vertical="bottom"/>
    </xf>
    <xf numFmtId="165" fontId="12" fillId="3" borderId="0" applyAlignment="1" pivotButton="0" quotePrefix="0" xfId="0">
      <alignment horizontal="general" vertical="bottom"/>
    </xf>
    <xf numFmtId="164" fontId="12" fillId="3" borderId="0" applyAlignment="1" pivotButton="0" quotePrefix="0" xfId="0">
      <alignment horizontal="general" vertical="bottom"/>
    </xf>
    <xf numFmtId="0" fontId="12" fillId="3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Unknown Author</author>
  </authors>
  <commentList>
    <comment ref="D3" authorId="0" shapeId="0">
      <text>
        <t>Helix: heavy outlay, slow ramp, long back-loaded tail. Highest total return, lowest IRR.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1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17" min="1" max="1"/>
    <col width="72" customWidth="1" style="17" min="2" max="2"/>
  </cols>
  <sheetData>
    <row r="1" ht="17.35" customHeight="1" s="18">
      <c r="A1" s="19" t="inlineStr">
        <is>
          <t>Halden Energy — Quarter 6: Capital Allocation</t>
        </is>
      </c>
    </row>
    <row r="2"/>
    <row r="3" ht="15" customHeight="1" s="18">
      <c r="A3" s="20" t="n"/>
      <c r="B3" s="20" t="n"/>
    </row>
    <row r="4" ht="15" customHeight="1" s="18">
      <c r="A4" s="20" t="inlineStr">
        <is>
          <t>Decision: allocate a constrained budget across three projects. The budget funds ~1.5 of 3.</t>
        </is>
      </c>
      <c r="B4" s="20" t="n"/>
    </row>
    <row r="5" ht="15" customHeight="1" s="18">
      <c r="A5" s="20" t="inlineStr">
        <is>
          <t>The twist: your cost of capital was set by your class's Quarter 4 transfer-pricing discipline.</t>
        </is>
      </c>
      <c r="B5" s="20" t="n"/>
    </row>
    <row r="6" ht="15" customHeight="1" s="18">
      <c r="A6" s="20" t="inlineStr">
        <is>
          <t>A disciplined class earns a low discount rate — which changes which project is best.</t>
        </is>
      </c>
      <c r="B6" s="20" t="n"/>
    </row>
    <row r="7" ht="15" customHeight="1" s="18">
      <c r="A7" s="20" t="n"/>
      <c r="B7" s="20" t="n"/>
    </row>
    <row r="8" ht="15" customHeight="1" s="18">
      <c r="A8" s="21" t="inlineStr">
        <is>
          <t>Tabs:</t>
        </is>
      </c>
      <c r="B8" s="20" t="n"/>
    </row>
    <row r="9" ht="15" customHeight="1" s="18">
      <c r="A9" s="20" t="inlineStr">
        <is>
          <t xml:space="preserve">  Data — Projects</t>
        </is>
      </c>
      <c r="B9" s="20" t="inlineStr">
        <is>
          <t>The three project cash flows and the class discount schedule.</t>
        </is>
      </c>
    </row>
    <row r="10" ht="15" customHeight="1" s="18">
      <c r="A10" s="20" t="inlineStr">
        <is>
          <t xml:space="preserve">  Data — Adjustments</t>
        </is>
      </c>
      <c r="B10" s="20" t="inlineStr">
        <is>
          <t>Cost of capital by risk class and the forecast-accuracy haircuts.</t>
        </is>
      </c>
    </row>
    <row r="11" ht="15" customHeight="1" s="18">
      <c r="A11" s="20" t="inlineStr">
        <is>
          <t xml:space="preserve">  Worked Example</t>
        </is>
      </c>
      <c r="B11" s="20" t="inlineStr">
        <is>
          <t>NPV/IRR divergence on a prior two-project case, fully solved.</t>
        </is>
      </c>
    </row>
    <row r="12" ht="15" customHeight="1" s="18">
      <c r="A12" s="20" t="inlineStr">
        <is>
          <t xml:space="preserve">  Your Analysis</t>
        </is>
      </c>
      <c r="B12" s="20" t="inlineStr">
        <is>
          <t>Compute NPV/IRR at your class rate, apply haircuts, allocate. Fill yellow.</t>
        </is>
      </c>
    </row>
    <row r="13" ht="15" customHeight="1" s="18">
      <c r="A13" s="20" t="n"/>
      <c r="B13" s="20" t="n"/>
    </row>
    <row r="14" ht="15" customHeight="1" s="18">
      <c r="A14" s="20" t="inlineStr">
        <is>
          <t>The key insight: ranking by IRR funds the wrong portfolio when capital is cheap.</t>
        </is>
      </c>
      <c r="B14" s="20" t="n"/>
    </row>
    <row r="15" ht="15" customHeight="1" s="18">
      <c r="A15" s="20" t="inlineStr">
        <is>
          <t>Baton Rouge has the highest IRR but Helix has the highest NPV at a low discount rate.</t>
        </is>
      </c>
      <c r="B15" s="20" t="n"/>
    </row>
    <row r="16" ht="15" customHeight="1" s="18">
      <c r="A16" s="20" t="n"/>
      <c r="B16" s="20" t="n"/>
    </row>
    <row r="17" ht="15" customHeight="1" s="18">
      <c r="A17" s="20" t="inlineStr">
        <is>
          <t>Legend: blue = input, black = formula, green = pulled from class state, yellow = you fill in.</t>
        </is>
      </c>
      <c r="B17" s="20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4" customWidth="1" style="17" min="1" max="1"/>
    <col width="18" customWidth="1" style="17" min="2" max="4"/>
  </cols>
  <sheetData>
    <row r="1" ht="15" customHeight="1" s="18">
      <c r="A1" s="22" t="inlineStr">
        <is>
          <t>Project cash flows (USD millions, year 0 = outlay)</t>
        </is>
      </c>
    </row>
    <row r="2"/>
    <row r="3" ht="15" customHeight="1" s="18">
      <c r="A3" s="23" t="inlineStr">
        <is>
          <t>Year</t>
        </is>
      </c>
      <c r="B3" s="23" t="inlineStr">
        <is>
          <t>Baton Rouge</t>
        </is>
      </c>
      <c r="C3" s="23" t="inlineStr">
        <is>
          <t>Rotterdam</t>
        </is>
      </c>
      <c r="D3" s="23" t="inlineStr">
        <is>
          <t>Helix</t>
        </is>
      </c>
    </row>
    <row r="4" ht="15" customHeight="1" s="18">
      <c r="A4" s="24" t="n">
        <v>0</v>
      </c>
      <c r="B4" s="24" t="n">
        <v>-640</v>
      </c>
      <c r="C4" s="24" t="n">
        <v>-400</v>
      </c>
      <c r="D4" s="24" t="n">
        <v>-880</v>
      </c>
    </row>
    <row r="5" ht="15" customHeight="1" s="18">
      <c r="A5" s="24" t="n">
        <v>1</v>
      </c>
      <c r="B5" s="24" t="n">
        <v>180</v>
      </c>
      <c r="C5" s="24" t="n">
        <v>70</v>
      </c>
      <c r="D5" s="24" t="n">
        <v>5</v>
      </c>
    </row>
    <row r="6" ht="15" customHeight="1" s="18">
      <c r="A6" s="24" t="n">
        <v>2</v>
      </c>
      <c r="B6" s="24" t="n">
        <v>190</v>
      </c>
      <c r="C6" s="24" t="n">
        <v>95</v>
      </c>
      <c r="D6" s="24" t="n">
        <v>35</v>
      </c>
    </row>
    <row r="7" ht="15" customHeight="1" s="18">
      <c r="A7" s="24" t="n">
        <v>3</v>
      </c>
      <c r="B7" s="24" t="n">
        <v>185</v>
      </c>
      <c r="C7" s="24" t="n">
        <v>105</v>
      </c>
      <c r="D7" s="24" t="n">
        <v>80</v>
      </c>
    </row>
    <row r="8" ht="15" customHeight="1" s="18">
      <c r="A8" s="24" t="n">
        <v>4</v>
      </c>
      <c r="B8" s="24" t="n">
        <v>170</v>
      </c>
      <c r="C8" s="24" t="n">
        <v>105</v>
      </c>
      <c r="D8" s="24" t="n">
        <v>140</v>
      </c>
    </row>
    <row r="9" ht="15" customHeight="1" s="18">
      <c r="A9" s="24" t="n">
        <v>5</v>
      </c>
      <c r="B9" s="24" t="n">
        <v>150</v>
      </c>
      <c r="C9" s="24" t="n">
        <v>95</v>
      </c>
      <c r="D9" s="24" t="n">
        <v>195</v>
      </c>
    </row>
    <row r="10" ht="15" customHeight="1" s="18">
      <c r="A10" s="24" t="n">
        <v>6</v>
      </c>
      <c r="B10" s="24" t="n">
        <v>125</v>
      </c>
      <c r="C10" s="24" t="n">
        <v>80</v>
      </c>
      <c r="D10" s="24" t="n">
        <v>245</v>
      </c>
    </row>
    <row r="11" ht="15" customHeight="1" s="18">
      <c r="A11" s="24" t="n">
        <v>7</v>
      </c>
      <c r="B11" s="24" t="n">
        <v>98</v>
      </c>
      <c r="C11" s="24" t="n">
        <v>65</v>
      </c>
      <c r="D11" s="24" t="n">
        <v>285</v>
      </c>
    </row>
    <row r="12" ht="15" customHeight="1" s="18">
      <c r="A12" s="24" t="n">
        <v>8</v>
      </c>
      <c r="B12" s="24" t="n">
        <v>72</v>
      </c>
      <c r="C12" s="24" t="n">
        <v>50</v>
      </c>
      <c r="D12" s="24" t="n">
        <v>315</v>
      </c>
    </row>
    <row r="13" ht="15" customHeight="1" s="18">
      <c r="A13" s="24" t="n">
        <v>9</v>
      </c>
      <c r="B13" s="24" t="n">
        <v>46</v>
      </c>
      <c r="C13" s="24" t="n">
        <v>35</v>
      </c>
      <c r="D13" s="24" t="n">
        <v>335</v>
      </c>
    </row>
    <row r="14" ht="15" customHeight="1" s="18">
      <c r="A14" s="24" t="n">
        <v>10</v>
      </c>
      <c r="B14" s="24" t="n">
        <v>24</v>
      </c>
      <c r="C14" s="24" t="n">
        <v>25</v>
      </c>
      <c r="D14" s="24" t="n">
        <v>345</v>
      </c>
    </row>
    <row r="15"/>
    <row r="16" ht="15" customHeight="1" s="18">
      <c r="A16" s="21" t="inlineStr">
        <is>
          <t>Class discount schedule (set by your Quarter 4 transfer-pricing discipline):</t>
        </is>
      </c>
    </row>
    <row r="17" ht="15" customHeight="1" s="18">
      <c r="A17" s="23" t="inlineStr">
        <is>
          <t>Class Quarter 4 behavior</t>
        </is>
      </c>
      <c r="B17" s="23" t="inlineStr">
        <is>
          <t>Discount rate</t>
        </is>
      </c>
      <c r="C17" s="23" t="inlineStr">
        <is>
          <t>Capital envelope ($mm)</t>
        </is>
      </c>
    </row>
    <row r="18" ht="15" customHeight="1" s="18">
      <c r="A18" s="20" t="inlineStr">
        <is>
          <t>disciplined</t>
        </is>
      </c>
      <c r="B18" s="25" t="n">
        <v>0.065</v>
      </c>
      <c r="C18" s="24" t="n">
        <v>1520</v>
      </c>
    </row>
    <row r="19" ht="15" customHeight="1" s="18">
      <c r="A19" s="20" t="inlineStr">
        <is>
          <t>base</t>
        </is>
      </c>
      <c r="B19" s="25" t="n">
        <v>0.08500000000000001</v>
      </c>
      <c r="C19" s="24" t="n">
        <v>1150</v>
      </c>
    </row>
    <row r="20" ht="15" customHeight="1" s="18">
      <c r="A20" s="20" t="inlineStr">
        <is>
          <t>lax</t>
        </is>
      </c>
      <c r="B20" s="25" t="n">
        <v>0.11</v>
      </c>
      <c r="C20" s="24" t="n">
        <v>950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17" min="1" max="1"/>
    <col width="20" customWidth="1" style="17" min="2" max="2"/>
    <col width="14" customWidth="1" style="17" min="3" max="3"/>
  </cols>
  <sheetData>
    <row r="1" ht="15" customHeight="1" s="18">
      <c r="A1" s="22" t="inlineStr">
        <is>
          <t>Cost of capital and forecast-accuracy haircuts</t>
        </is>
      </c>
    </row>
    <row r="2"/>
    <row r="3" ht="15" customHeight="1" s="18">
      <c r="A3" s="21" t="inlineStr">
        <is>
          <t>Base hurdle rate by risk class:</t>
        </is>
      </c>
    </row>
    <row r="4" ht="15" customHeight="1" s="18">
      <c r="A4" s="26" t="inlineStr">
        <is>
          <t>Risk class</t>
        </is>
      </c>
      <c r="B4" s="26" t="inlineStr">
        <is>
          <t>Base hurdle</t>
        </is>
      </c>
      <c r="C4" s="26" t="inlineStr">
        <is>
          <t>Risk flag</t>
        </is>
      </c>
    </row>
    <row r="5" ht="15" customHeight="1" s="18">
      <c r="A5" s="20" t="inlineStr">
        <is>
          <t>refining_upgrade</t>
        </is>
      </c>
      <c r="B5" s="25" t="n">
        <v>0.08500000000000001</v>
      </c>
      <c r="C5" s="25" t="n">
        <v>0</v>
      </c>
    </row>
    <row r="6" ht="15" customHeight="1" s="18">
      <c r="A6" s="20" t="inlineStr">
        <is>
          <t>adjacent_transition</t>
        </is>
      </c>
      <c r="B6" s="25" t="n">
        <v>0.08500000000000001</v>
      </c>
      <c r="C6" s="25" t="n">
        <v>0.02</v>
      </c>
    </row>
    <row r="7"/>
    <row r="8" ht="15" customHeight="1" s="18">
      <c r="A8" s="21" t="inlineStr">
        <is>
          <t>Historical forecast accuracy (actual as % of forecast NPV):</t>
        </is>
      </c>
    </row>
    <row r="9" ht="15" customHeight="1" s="18">
      <c r="A9" s="26" t="inlineStr">
        <is>
          <t>Project type</t>
        </is>
      </c>
      <c r="B9" s="26" t="inlineStr">
        <is>
          <t>Actual % of forecast</t>
        </is>
      </c>
    </row>
    <row r="10" ht="15" customHeight="1" s="18">
      <c r="A10" s="20" t="inlineStr">
        <is>
          <t>refining</t>
        </is>
      </c>
      <c r="B10" s="27" t="n">
        <v>0.88</v>
      </c>
    </row>
    <row r="11" ht="15" customHeight="1" s="18">
      <c r="A11" s="20" t="inlineStr">
        <is>
          <t>upstream</t>
        </is>
      </c>
      <c r="B11" s="27" t="n">
        <v>0.79</v>
      </c>
    </row>
    <row r="12" ht="15" customHeight="1" s="18">
      <c r="A12" s="20" t="inlineStr">
        <is>
          <t>new_business</t>
        </is>
      </c>
      <c r="B12" s="27" t="n">
        <v>0.61</v>
      </c>
    </row>
    <row r="13"/>
    <row r="14" ht="15" customHeight="1" s="18">
      <c r="A14" s="28" t="inlineStr">
        <is>
          <t>Note: new-business (Helix) has the thinnest track record (61%). The haircut bites hardest where the strategic case is made.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17" min="1" max="3"/>
  </cols>
  <sheetData>
    <row r="1" ht="15" customHeight="1" s="18">
      <c r="A1" s="22" t="inlineStr">
        <is>
          <t>Worked Example — NPV/IRR divergence (prior two-project case). Study, then do Your Analysis.</t>
        </is>
      </c>
    </row>
    <row r="2" ht="15" customHeight="1" s="18">
      <c r="A2" s="28" t="inlineStr">
        <is>
          <t>Project A is front-loaded (high IRR); Project B is back-loaded (higher NPV at low rates). Watch the ranking flip.</t>
        </is>
      </c>
    </row>
    <row r="3"/>
    <row r="4" ht="15" customHeight="1" s="18">
      <c r="A4" s="23" t="inlineStr">
        <is>
          <t>Year</t>
        </is>
      </c>
      <c r="B4" s="23" t="inlineStr">
        <is>
          <t>Project A</t>
        </is>
      </c>
      <c r="C4" s="23" t="inlineStr">
        <is>
          <t>Project B</t>
        </is>
      </c>
    </row>
    <row r="5" ht="15" customHeight="1" s="18">
      <c r="A5" s="24" t="n">
        <v>0</v>
      </c>
      <c r="B5" s="24" t="n">
        <v>-500</v>
      </c>
      <c r="C5" s="24" t="n">
        <v>-500</v>
      </c>
    </row>
    <row r="6" ht="15" customHeight="1" s="18">
      <c r="A6" s="24" t="n">
        <v>1</v>
      </c>
      <c r="B6" s="24" t="n">
        <v>200</v>
      </c>
      <c r="C6" s="24" t="n">
        <v>20</v>
      </c>
    </row>
    <row r="7" ht="15" customHeight="1" s="18">
      <c r="A7" s="24" t="n">
        <v>2</v>
      </c>
      <c r="B7" s="24" t="n">
        <v>180</v>
      </c>
      <c r="C7" s="24" t="n">
        <v>55</v>
      </c>
    </row>
    <row r="8" ht="15" customHeight="1" s="18">
      <c r="A8" s="24" t="n">
        <v>3</v>
      </c>
      <c r="B8" s="24" t="n">
        <v>150</v>
      </c>
      <c r="C8" s="24" t="n">
        <v>95</v>
      </c>
    </row>
    <row r="9" ht="15" customHeight="1" s="18">
      <c r="A9" s="24" t="n">
        <v>4</v>
      </c>
      <c r="B9" s="24" t="n">
        <v>110</v>
      </c>
      <c r="C9" s="24" t="n">
        <v>140</v>
      </c>
    </row>
    <row r="10" ht="15" customHeight="1" s="18">
      <c r="A10" s="24" t="n">
        <v>5</v>
      </c>
      <c r="B10" s="24" t="n">
        <v>70</v>
      </c>
      <c r="C10" s="24" t="n">
        <v>180</v>
      </c>
    </row>
    <row r="11" ht="15" customHeight="1" s="18">
      <c r="A11" s="24" t="n">
        <v>6</v>
      </c>
      <c r="B11" s="24" t="n">
        <v>40</v>
      </c>
      <c r="C11" s="24" t="n">
        <v>210</v>
      </c>
    </row>
    <row r="12" ht="15" customHeight="1" s="18">
      <c r="A12" s="24" t="n">
        <v>7</v>
      </c>
      <c r="B12" s="24" t="n">
        <v>20</v>
      </c>
      <c r="C12" s="24" t="n">
        <v>230</v>
      </c>
    </row>
    <row r="13"/>
    <row r="14" ht="15" customHeight="1" s="18">
      <c r="A14" s="21" t="inlineStr">
        <is>
          <t>NPV at 6% (low rate):</t>
        </is>
      </c>
      <c r="B14" s="29">
        <f>B5+NPV(0.06,B6:B12)</f>
        <v/>
      </c>
      <c r="C14" s="29">
        <f>C5+NPV(0.06,C6:C12)</f>
        <v/>
      </c>
    </row>
    <row r="15" ht="15" customHeight="1" s="18">
      <c r="A15" s="21" t="inlineStr">
        <is>
          <t>NPV at 12% (high rate):</t>
        </is>
      </c>
      <c r="B15" s="29">
        <f>B5+NPV(0.12,B6:B12)</f>
        <v/>
      </c>
      <c r="C15" s="29">
        <f>C5+NPV(0.12,C6:C12)</f>
        <v/>
      </c>
    </row>
    <row r="16" ht="15" customHeight="1" s="18">
      <c r="A16" s="21" t="inlineStr">
        <is>
          <t>IRR:</t>
        </is>
      </c>
      <c r="B16" s="30">
        <f>IRR(B5:B12)</f>
        <v/>
      </c>
      <c r="C16" s="30">
        <f>IRR(C5:C12)</f>
        <v/>
      </c>
    </row>
    <row r="17"/>
    <row r="18" ht="15" customHeight="1" s="18">
      <c r="A18" s="28" t="inlineStr">
        <is>
          <t>Note: A has the higher IRR, but B has the higher NPV at the low rate. Ranking by IRR would pick the wrong project when capital is cheap.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4" customWidth="1" style="17" min="1" max="1"/>
    <col width="20" customWidth="1" style="17" min="2" max="2"/>
    <col width="42" customWidth="1" style="17" min="3" max="3"/>
  </cols>
  <sheetData>
    <row r="1" ht="15" customHeight="1" s="18">
      <c r="A1" s="22" t="inlineStr">
        <is>
          <t>Your Analysis — allocate the budget. Fill the YELLOW cells.</t>
        </is>
      </c>
    </row>
    <row r="2" ht="15" customHeight="1" s="18">
      <c r="A2" s="28" t="inlineStr">
        <is>
          <t>Your discount rate and envelope come from your class's Quarter 4 discipline (green). Use NPV() and IRR() as in the Worked Example.</t>
        </is>
      </c>
    </row>
    <row r="3"/>
    <row r="4" ht="15" customHeight="1" s="18">
      <c r="A4" s="21" t="inlineStr">
        <is>
          <t>Your class discount rate (from Data — Projects; your instructor tells you your class state):</t>
        </is>
      </c>
    </row>
    <row r="5" ht="15" customHeight="1" s="18">
      <c r="A5" s="20" t="inlineStr">
        <is>
          <t>Discount rate -&gt;</t>
        </is>
      </c>
      <c r="B5" s="31" t="n"/>
      <c r="C5" s="28" t="inlineStr">
        <is>
          <t>(enter your class rate: 6.5% / 8.5% / 11.0%)</t>
        </is>
      </c>
    </row>
    <row r="6"/>
    <row r="7" ht="15" customHeight="1" s="18">
      <c r="A7" s="21" t="inlineStr">
        <is>
          <t>NPV and IRR of each project — fill yellow (use NPV at your rate, and IRR):</t>
        </is>
      </c>
    </row>
    <row r="8" ht="15" customHeight="1" s="18">
      <c r="A8" s="23" t="inlineStr">
        <is>
          <t>Project</t>
        </is>
      </c>
      <c r="B8" s="23" t="inlineStr">
        <is>
          <t>NPV at your rate</t>
        </is>
      </c>
      <c r="C8" s="23" t="inlineStr">
        <is>
          <t>IRR</t>
        </is>
      </c>
    </row>
    <row r="9" ht="15" customHeight="1" s="18">
      <c r="A9" s="20" t="inlineStr">
        <is>
          <t>Baton Rouge</t>
        </is>
      </c>
      <c r="B9" s="32" t="n"/>
      <c r="C9" s="33" t="n"/>
    </row>
    <row r="10" ht="15" customHeight="1" s="18">
      <c r="A10" s="20" t="inlineStr">
        <is>
          <t>Rotterdam</t>
        </is>
      </c>
      <c r="B10" s="32" t="n"/>
      <c r="C10" s="33" t="n"/>
    </row>
    <row r="11" ht="15" customHeight="1" s="18">
      <c r="A11" s="20" t="inlineStr">
        <is>
          <t>Helix</t>
        </is>
      </c>
      <c r="B11" s="32" t="n"/>
      <c r="C11" s="33" t="n"/>
    </row>
    <row r="12"/>
    <row r="13" ht="15" customHeight="1" s="18">
      <c r="A13" s="28" t="inlineStr">
        <is>
          <t>(Hint: cash flows are on Data — Projects rows 4-14, columns B/C/D. NPV(rate, year1:year10)+year0.)</t>
        </is>
      </c>
    </row>
    <row r="14"/>
    <row r="15" ht="15" customHeight="1" s="18">
      <c r="A15" s="21" t="inlineStr">
        <is>
          <t>Which ranks highest by NPV? By IRR? Do they agree? — fill yellow:</t>
        </is>
      </c>
    </row>
    <row r="16" ht="15" customHeight="1" s="18">
      <c r="A16" s="20" t="inlineStr">
        <is>
          <t>Highest NPV project -&gt;</t>
        </is>
      </c>
      <c r="B16" s="34" t="n"/>
    </row>
    <row r="17" ht="15" customHeight="1" s="18">
      <c r="A17" s="20" t="inlineStr">
        <is>
          <t>Highest IRR project -&gt;</t>
        </is>
      </c>
      <c r="B17" s="34" t="n"/>
    </row>
    <row r="18" ht="15" customHeight="1" s="18">
      <c r="A18" s="20" t="inlineStr">
        <is>
          <t>Do NPV and IRR agree? -&gt;</t>
        </is>
      </c>
      <c r="B18" s="34" t="n"/>
    </row>
    <row r="19"/>
    <row r="20" ht="15" customHeight="1" s="18">
      <c r="A20" s="21" t="inlineStr">
        <is>
          <t>Your allocation (which projects to fund, within your envelope) -&gt;</t>
        </is>
      </c>
    </row>
    <row r="21" ht="15" customHeight="1" s="18">
      <c r="A21" s="34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2026-09-24T13:31:39Z</dcterms:created>
  <dcterms:modified xmlns:dcterms="http://purl.org/dc/terms/" xmlns:xsi="http://www.w3.org/2001/XMLSchema-instance" xsi:type="dcterms:W3CDTF">2026-10-09T18:07:52Z</dcterms:modified>
  <cp:revision>0</cp:revision>
</cp:coreProperties>
</file>