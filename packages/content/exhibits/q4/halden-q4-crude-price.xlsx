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Permian" sheetId="2" state="visible" r:id="rId2"/>
    <sheet xmlns:r="http://schemas.openxmlformats.org/officeDocument/2006/relationships" name="Data — Compensation" sheetId="3" state="visible" r:id="rId3"/>
    <sheet xmlns:r="http://schemas.openxmlformats.org/officeDocument/2006/relationships" name="Worked Example" sheetId="4" state="visible" r:id="rId4"/>
    <sheet xmlns:r="http://schemas.openxmlformats.org/officeDocument/2006/relationships" name="Your Analysi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2024 vintage is the marginal barrel — the cheapest to lift, the one produced last.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3" min="1" max="1"/>
    <col width="70" customWidth="1" style="13" min="2" max="2"/>
  </cols>
  <sheetData>
    <row r="1" ht="17.35" customHeight="1" s="14">
      <c r="A1" s="15" t="inlineStr">
        <is>
          <t>Halden Energy — Quarter 4: What Baton Rouge pays for Texas crude</t>
        </is>
      </c>
    </row>
    <row r="3" ht="15" customHeight="1" s="14">
      <c r="A3" s="13" t="inlineStr">
        <is>
          <t>Decision: set the internal transfer price for Permian crude sold to the Baton Rouge refinery.</t>
        </is>
      </c>
    </row>
    <row r="4" ht="15" customHeight="1" s="14">
      <c r="A4" s="13" t="inlineStr">
        <is>
          <t>Three anchor options: market-based, marginal-cost, or a lazy midpoint. You may also set an intermediate value.</t>
        </is>
      </c>
    </row>
    <row r="6" ht="15" customHeight="1" s="14">
      <c r="A6" s="16" t="n"/>
      <c r="B6" s="16" t="n"/>
    </row>
    <row r="7" ht="15" customHeight="1" s="14">
      <c r="A7" s="17" t="inlineStr">
        <is>
          <t>How this workbook is organized:</t>
        </is>
      </c>
      <c r="B7" s="16" t="n"/>
    </row>
    <row r="8" ht="15" customHeight="1" s="14">
      <c r="A8" s="16" t="inlineStr">
        <is>
          <t xml:space="preserve">  Tab: Data — Permian</t>
        </is>
      </c>
      <c r="B8" s="16" t="inlineStr">
        <is>
          <t>The lifting costs and cost constants you compute from. Read-only reference.</t>
        </is>
      </c>
    </row>
    <row r="9" ht="15" customHeight="1" s="14">
      <c r="A9" s="16" t="inlineStr">
        <is>
          <t xml:space="preserve">  Tab: Data — Compensation</t>
        </is>
      </c>
      <c r="B9" s="16" t="inlineStr">
        <is>
          <t>The segment compensation plan. Read this carefully — it explains the politics.</t>
        </is>
      </c>
    </row>
    <row r="10" ht="15" customHeight="1" s="14">
      <c r="A10" s="16" t="inlineStr">
        <is>
          <t xml:space="preserve">  Tab: Worked Example</t>
        </is>
      </c>
      <c r="B10" s="16" t="inlineStr">
        <is>
          <t>A fully solved example on a PRIOR period (WTI $68). Study the method here first.</t>
        </is>
      </c>
    </row>
    <row r="11" ht="15" customHeight="1" s="14">
      <c r="A11" s="16" t="inlineStr">
        <is>
          <t xml:space="preserve">  Tab: Your Analysis</t>
        </is>
      </c>
      <c r="B11" s="16" t="inlineStr">
        <is>
          <t>This quarter (WTI $74). Fill the YELLOW cells. This is your work.</t>
        </is>
      </c>
    </row>
    <row r="12" ht="15" customHeight="1" s="14">
      <c r="A12" s="16" t="n"/>
      <c r="B12" s="16" t="n"/>
    </row>
    <row r="13" ht="15" customHeight="1" s="14">
      <c r="A13" s="17" t="inlineStr">
        <is>
          <t>Color legend:</t>
        </is>
      </c>
      <c r="B13" s="16" t="n"/>
    </row>
    <row r="14" ht="15" customHeight="1" s="14">
      <c r="A14" s="16" t="inlineStr">
        <is>
          <t xml:space="preserve">  Blue text</t>
        </is>
      </c>
      <c r="B14" s="16" t="inlineStr">
        <is>
          <t>A hardcoded input or given constant. Do not change.</t>
        </is>
      </c>
    </row>
    <row r="15" ht="15" customHeight="1" s="14">
      <c r="A15" s="16" t="inlineStr">
        <is>
          <t xml:space="preserve">  Black text</t>
        </is>
      </c>
      <c r="B15" s="16" t="inlineStr">
        <is>
          <t>A formula that computes from other cells.</t>
        </is>
      </c>
    </row>
    <row r="16" ht="15" customHeight="1" s="14">
      <c r="A16" s="16" t="inlineStr">
        <is>
          <t xml:space="preserve">  Yellow fill</t>
        </is>
      </c>
      <c r="B16" s="16" t="inlineStr">
        <is>
          <t>A cell for YOU to fill in on the Your Analysis tab.</t>
        </is>
      </c>
    </row>
    <row r="17" ht="15" customHeight="1" s="14">
      <c r="A17" s="16" t="n"/>
      <c r="B17" s="16" t="n"/>
    </row>
    <row r="18" ht="15" customHeight="1" s="14">
      <c r="A18" s="17" t="inlineStr">
        <is>
          <t>The key insight to test:</t>
        </is>
      </c>
      <c r="B18" s="16" t="n"/>
    </row>
    <row r="19" ht="15" customHeight="1" s="14">
      <c r="A19" s="16" t="inlineStr">
        <is>
          <t xml:space="preserve">  Halden's integrated margin per barrel does NOT change with the transfer price.</t>
        </is>
      </c>
      <c r="B19" s="16" t="n"/>
    </row>
    <row r="20" ht="15" customHeight="1" s="14">
      <c r="A20" s="16" t="inlineStr">
        <is>
          <t xml:space="preserve">  The transfer price only splits that fixed margin between Upstream and Refining.</t>
        </is>
      </c>
      <c r="B20" s="16" t="n"/>
    </row>
    <row r="21" ht="15" customHeight="1" s="14">
      <c r="A21" s="16" t="inlineStr">
        <is>
          <t xml:space="preserve">  Check this yourself in the Worked Example before doing Your Analysis.</t>
        </is>
      </c>
      <c r="B21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24" customWidth="1" style="13" min="2" max="2"/>
    <col width="16" customWidth="1" style="13" min="3" max="3"/>
  </cols>
  <sheetData>
    <row r="1" ht="15" customHeight="1" s="14">
      <c r="A1" s="18" t="inlineStr">
        <is>
          <t>Permian Lifting Costs by Vintage</t>
        </is>
      </c>
    </row>
    <row r="3" ht="15" customHeight="1" s="14">
      <c r="A3" s="19" t="inlineStr">
        <is>
          <t>Vintage</t>
        </is>
      </c>
      <c r="B3" s="19" t="inlineStr">
        <is>
          <t>Cash lifting cost ($/bbl)</t>
        </is>
      </c>
      <c r="C3" s="19" t="inlineStr">
        <is>
          <t>Production share</t>
        </is>
      </c>
    </row>
    <row r="4" ht="15" customHeight="1" s="14">
      <c r="A4" s="20" t="n">
        <v>2021</v>
      </c>
      <c r="B4" s="20" t="n">
        <v>11.5</v>
      </c>
      <c r="C4" s="21" t="n">
        <v>0.18</v>
      </c>
    </row>
    <row r="5" ht="15" customHeight="1" s="14">
      <c r="A5" s="20" t="n">
        <v>2022</v>
      </c>
      <c r="B5" s="20" t="n">
        <v>10.2</v>
      </c>
      <c r="C5" s="21" t="n">
        <v>0.24</v>
      </c>
    </row>
    <row r="6" ht="15" customHeight="1" s="14">
      <c r="A6" s="20" t="n">
        <v>2023</v>
      </c>
      <c r="B6" s="20" t="n">
        <v>9.4</v>
      </c>
      <c r="C6" s="21" t="n">
        <v>0.31</v>
      </c>
    </row>
    <row r="7" ht="15" customHeight="1" s="14">
      <c r="A7" s="20" t="n">
        <v>2024</v>
      </c>
      <c r="B7" s="20" t="n">
        <v>8.800000000000001</v>
      </c>
      <c r="C7" s="21" t="n">
        <v>0.27</v>
      </c>
    </row>
    <row r="9" ht="15" customHeight="1" s="14">
      <c r="A9" s="17" t="inlineStr">
        <is>
          <t>Cost constants ($/bbl):</t>
        </is>
      </c>
    </row>
    <row r="10" ht="15" customHeight="1" s="14">
      <c r="A10" s="16" t="inlineStr">
        <is>
          <t>WTI benchmark (this quarter)</t>
        </is>
      </c>
      <c r="B10" s="20" t="n">
        <v>74</v>
      </c>
    </row>
    <row r="11" ht="15" customHeight="1" s="14">
      <c r="A11" s="16" t="inlineStr">
        <is>
          <t>Permian wellhead discount to WTI</t>
        </is>
      </c>
      <c r="B11" s="20" t="n">
        <v>3.5</v>
      </c>
    </row>
    <row r="12" ht="15" customHeight="1" s="14">
      <c r="A12" s="16" t="inlineStr">
        <is>
          <t>Gathering cost</t>
        </is>
      </c>
      <c r="B12" s="20" t="n">
        <v>2.1</v>
      </c>
    </row>
    <row r="13" ht="15" customHeight="1" s="14">
      <c r="A13" s="16" t="inlineStr">
        <is>
          <t>Transport Permian to Baton Rouge</t>
        </is>
      </c>
      <c r="B13" s="20" t="n">
        <v>3.2</v>
      </c>
    </row>
    <row r="14" ht="15" customHeight="1" s="14">
      <c r="A14" s="16" t="inlineStr">
        <is>
          <t>Short-run capital recovery charge</t>
        </is>
      </c>
      <c r="B14" s="20" t="n">
        <v>4.6</v>
      </c>
    </row>
    <row r="15" ht="15" customHeight="1" s="14">
      <c r="A15" s="16" t="inlineStr">
        <is>
          <t>Gulf Coast 3-2-1 crack (this quarter)</t>
        </is>
      </c>
      <c r="B15" s="20" t="n">
        <v>21.5</v>
      </c>
    </row>
    <row r="16" ht="15" customHeight="1" s="14">
      <c r="A16" s="16" t="inlineStr">
        <is>
          <t>Baton Rouge complexity premium</t>
        </is>
      </c>
      <c r="B16" s="20" t="n">
        <v>4.75</v>
      </c>
    </row>
    <row r="17" ht="15" customHeight="1" s="14">
      <c r="A17" s="16" t="inlineStr">
        <is>
          <t>Baton Rouge refining opex</t>
        </is>
      </c>
      <c r="B17" s="20" t="n">
        <v>5.9</v>
      </c>
    </row>
    <row r="18" ht="15" customHeight="1" s="14">
      <c r="A18" s="16" t="inlineStr">
        <is>
          <t>Geneva arbitrage capture rate</t>
        </is>
      </c>
      <c r="B18" s="20" t="n">
        <v>0.35</v>
      </c>
    </row>
    <row r="19" ht="15" customHeight="1" s="14">
      <c r="A19" s="16" t="inlineStr">
        <is>
          <t>Geneva max arbitrage volume (bbl/day)</t>
        </is>
      </c>
      <c r="B19" s="20" t="n">
        <v>40000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36" customWidth="1" style="13" min="2" max="2"/>
    <col width="20" customWidth="1" style="13" min="3" max="3"/>
  </cols>
  <sheetData>
    <row r="1" ht="15" customHeight="1" s="14">
      <c r="A1" s="18" t="inlineStr">
        <is>
          <t>Segment Compensation Plan</t>
        </is>
      </c>
    </row>
    <row r="2" ht="15" customHeight="1" s="14">
      <c r="A2" s="22" t="inlineStr">
        <is>
          <t>Segment heads are bonused on their own segment margin vs target. Nobody rewrote this when the EVP role was created.</t>
        </is>
      </c>
    </row>
    <row r="4" ht="15" customHeight="1" s="14">
      <c r="A4" s="19" t="inlineStr">
        <is>
          <t>Segment</t>
        </is>
      </c>
      <c r="B4" s="19" t="inlineStr">
        <is>
          <t>Bonus basis</t>
        </is>
      </c>
      <c r="C4" s="19" t="inlineStr">
        <is>
          <t>Target margin ($/bbl)</t>
        </is>
      </c>
    </row>
    <row r="5" ht="15" customHeight="1" s="14">
      <c r="A5" s="16" t="inlineStr">
        <is>
          <t>upstream</t>
        </is>
      </c>
      <c r="B5" s="16" t="inlineStr">
        <is>
          <t>segment margin per bbl vs target</t>
        </is>
      </c>
      <c r="C5" s="20" t="n">
        <v>45</v>
      </c>
    </row>
    <row r="6" ht="15" customHeight="1" s="14">
      <c r="A6" s="16" t="inlineStr">
        <is>
          <t>refining</t>
        </is>
      </c>
      <c r="B6" s="16" t="inlineStr">
        <is>
          <t>segment margin per bbl vs target</t>
        </is>
      </c>
      <c r="C6" s="20" t="n">
        <v>30</v>
      </c>
    </row>
    <row r="7" ht="15" customHeight="1" s="14">
      <c r="A7" s="16" t="inlineStr">
        <is>
          <t>trading</t>
        </is>
      </c>
      <c r="B7" s="16" t="inlineStr">
        <is>
          <t>desk P&amp;L vs budget</t>
        </is>
      </c>
      <c r="C7" s="20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13" min="1" max="1"/>
    <col width="18" customWidth="1" style="13" min="2" max="4"/>
  </cols>
  <sheetData>
    <row r="1" ht="15" customHeight="1" s="14">
      <c r="A1" s="18" t="inlineStr">
        <is>
          <t>Worked Example — Prior Period (WTI $68). Study the method, then replicate on Your Analysis.</t>
        </is>
      </c>
    </row>
    <row r="2" ht="15" customHeight="1" s="14">
      <c r="A2" s="22" t="inlineStr">
        <is>
          <t>All figures $/bbl. Blue = given input. Black = formula. The point: integrated margin is the same under every transfer price.</t>
        </is>
      </c>
    </row>
    <row r="4" ht="15" customHeight="1" s="14">
      <c r="A4" s="17" t="inlineStr">
        <is>
          <t>Inputs</t>
        </is>
      </c>
    </row>
    <row r="5" ht="15" customHeight="1" s="14">
      <c r="A5" s="16" t="inlineStr">
        <is>
          <t>WTI (prior)</t>
        </is>
      </c>
      <c r="B5" s="23" t="n">
        <v>68</v>
      </c>
    </row>
    <row r="6" ht="15" customHeight="1" s="14">
      <c r="A6" s="16" t="inlineStr">
        <is>
          <t>Permian wellhead discount</t>
        </is>
      </c>
      <c r="B6" s="23" t="n">
        <v>3.5</v>
      </c>
    </row>
    <row r="7" ht="15" customHeight="1" s="14">
      <c r="A7" s="16" t="inlineStr">
        <is>
          <t>Transport to Baton Rouge</t>
        </is>
      </c>
      <c r="B7" s="23" t="n">
        <v>3.2</v>
      </c>
    </row>
    <row r="8" ht="15" customHeight="1" s="14">
      <c r="A8" s="16" t="inlineStr">
        <is>
          <t>Delivered marginal cost</t>
        </is>
      </c>
      <c r="B8" s="23" t="n">
        <v>14.1</v>
      </c>
    </row>
    <row r="9" ht="15" customHeight="1" s="14">
      <c r="A9" s="16" t="inlineStr">
        <is>
          <t>Short-run capital charge</t>
        </is>
      </c>
      <c r="B9" s="23" t="n">
        <v>4.6</v>
      </c>
    </row>
    <row r="10" ht="15" customHeight="1" s="14">
      <c r="A10" s="16" t="inlineStr">
        <is>
          <t>Gulf Coast crack (prior)</t>
        </is>
      </c>
      <c r="B10" s="23" t="n">
        <v>19</v>
      </c>
    </row>
    <row r="11" ht="15" customHeight="1" s="14">
      <c r="A11" s="16" t="inlineStr">
        <is>
          <t>BR complexity premium</t>
        </is>
      </c>
      <c r="B11" s="23" t="n">
        <v>4.75</v>
      </c>
    </row>
    <row r="12" ht="15" customHeight="1" s="14">
      <c r="A12" s="16" t="inlineStr">
        <is>
          <t>BR opex</t>
        </is>
      </c>
      <c r="B12" s="23" t="n">
        <v>5.9</v>
      </c>
    </row>
    <row r="14" ht="15" customHeight="1" s="14">
      <c r="A14" s="17" t="inlineStr">
        <is>
          <t>Derived quantities</t>
        </is>
      </c>
    </row>
    <row r="15" ht="15" customHeight="1" s="14">
      <c r="A15" s="16" t="inlineStr">
        <is>
          <t>Permian realized wellhead (WTI - discount)</t>
        </is>
      </c>
      <c r="B15" s="24">
        <f>B5-B6</f>
        <v/>
      </c>
    </row>
    <row r="16" ht="15" customHeight="1" s="14">
      <c r="A16" s="16" t="inlineStr">
        <is>
          <t>Product slate value (realized + crack + complexity)</t>
        </is>
      </c>
      <c r="B16" s="24">
        <f>B15+B10+B11</f>
        <v/>
      </c>
    </row>
    <row r="17" ht="15" customHeight="1" s="14">
      <c r="A17" s="17" t="inlineStr">
        <is>
          <t>INTEGRATED margin (product value - marginal cost - BR opex)</t>
        </is>
      </c>
      <c r="B17" s="24">
        <f>B16-B8-B12</f>
        <v/>
      </c>
    </row>
    <row r="19" ht="15" customHeight="1" s="14">
      <c r="A19" s="17" t="inlineStr">
        <is>
          <t>Transfer price options</t>
        </is>
      </c>
    </row>
    <row r="20" ht="15" customHeight="1" s="14">
      <c r="A20" s="16" t="inlineStr">
        <is>
          <t>Market-based TP (realized + transport)</t>
        </is>
      </c>
      <c r="B20" s="24">
        <f>B15+B7</f>
        <v/>
      </c>
    </row>
    <row r="21" ht="15" customHeight="1" s="14">
      <c r="A21" s="16" t="inlineStr">
        <is>
          <t>Marginal-cost TP (marginal cost + capital charge)</t>
        </is>
      </c>
      <c r="B21" s="24">
        <f>B8+B9</f>
        <v/>
      </c>
    </row>
    <row r="23" ht="15" customHeight="1" s="14">
      <c r="A23" s="17" t="inlineStr">
        <is>
          <t>Segment split check (shows integrated margin is invariant)</t>
        </is>
      </c>
    </row>
    <row r="24" ht="15" customHeight="1" s="14">
      <c r="A24" s="19" t="inlineStr">
        <is>
          <t>Transfer price</t>
        </is>
      </c>
      <c r="B24" s="19" t="inlineStr">
        <is>
          <t>Upstream margin</t>
        </is>
      </c>
      <c r="C24" s="19" t="inlineStr">
        <is>
          <t>Refining margin</t>
        </is>
      </c>
      <c r="D24" s="19" t="inlineStr">
        <is>
          <t>Sum (= integrated)</t>
        </is>
      </c>
    </row>
    <row r="25" ht="15" customHeight="1" s="14">
      <c r="A25" s="24">
        <f>B20</f>
        <v/>
      </c>
      <c r="B25" s="24">
        <f>A25-B8</f>
        <v/>
      </c>
      <c r="C25" s="24">
        <f>B16-A25-B12</f>
        <v/>
      </c>
      <c r="D25" s="24">
        <f>B25+C25</f>
        <v/>
      </c>
    </row>
    <row r="26" ht="15" customHeight="1" s="14">
      <c r="A26" s="24">
        <f>B21</f>
        <v/>
      </c>
      <c r="B26" s="24">
        <f>A26-B8</f>
        <v/>
      </c>
      <c r="C26" s="24">
        <f>B16-A26-B12</f>
        <v/>
      </c>
      <c r="D26" s="24">
        <f>B26+C26</f>
        <v/>
      </c>
    </row>
    <row r="28" ht="15" customHeight="1" s="14">
      <c r="A28" s="22" t="inlineStr">
        <is>
          <t>Note: column 4 (the sum) equals the integrated margin above under BOTH transfer prices.</t>
        </is>
      </c>
    </row>
    <row r="29" ht="15" customHeight="1" s="14">
      <c r="A29" s="22" t="inlineStr">
        <is>
          <t>The transfer price moved margin between Upstream and Refining. It did not change the total.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3" min="1" max="1"/>
    <col width="18" customWidth="1" style="13" min="2" max="5"/>
  </cols>
  <sheetData>
    <row r="1" ht="15" customHeight="1" s="14">
      <c r="A1" s="18" t="inlineStr">
        <is>
          <t>Your Analysis — This quarter (WTI $74). Fill the YELLOW cells using the same method as the Worked Example.</t>
        </is>
      </c>
    </row>
    <row r="2" ht="15" customHeight="1" s="14">
      <c r="A2" s="22" t="inlineStr">
        <is>
          <t>Inputs are pulled from the Data — Permian tab (blue). Compute the yellow cells with formulas.</t>
        </is>
      </c>
    </row>
    <row r="4" ht="15" customHeight="1" s="14">
      <c r="A4" s="17" t="inlineStr">
        <is>
          <t>Inputs (from Data — Permian)</t>
        </is>
      </c>
    </row>
    <row r="5" ht="15" customHeight="1" s="14">
      <c r="A5" s="16" t="inlineStr">
        <is>
          <t>WTI</t>
        </is>
      </c>
      <c r="B5" s="25">
        <f>'Data — Permian'!B10</f>
        <v/>
      </c>
    </row>
    <row r="6" ht="15" customHeight="1" s="14">
      <c r="A6" s="16" t="inlineStr">
        <is>
          <t>Permian wellhead discount</t>
        </is>
      </c>
      <c r="B6" s="25">
        <f>'Data — Permian'!B11</f>
        <v/>
      </c>
    </row>
    <row r="7" ht="15" customHeight="1" s="14">
      <c r="A7" s="16" t="inlineStr">
        <is>
          <t>Transport to Baton Rouge</t>
        </is>
      </c>
      <c r="B7" s="25">
        <f>'Data — Permian'!B13</f>
        <v/>
      </c>
    </row>
    <row r="8" ht="15" customHeight="1" s="14">
      <c r="A8" s="16" t="inlineStr">
        <is>
          <t>Delivered marginal cost (=lift 8.80 + gathering + transport)</t>
        </is>
      </c>
      <c r="B8" s="25">
        <f>8.8+'Data — Permian'!B12+'Data — Permian'!B13</f>
        <v/>
      </c>
    </row>
    <row r="9" ht="15" customHeight="1" s="14">
      <c r="A9" s="16" t="inlineStr">
        <is>
          <t>Short-run capital charge</t>
        </is>
      </c>
      <c r="B9" s="25">
        <f>'Data — Permian'!B14</f>
        <v/>
      </c>
    </row>
    <row r="10" ht="15" customHeight="1" s="14">
      <c r="A10" s="16" t="inlineStr">
        <is>
          <t>Gulf Coast crack</t>
        </is>
      </c>
      <c r="B10" s="25">
        <f>'Data — Permian'!B15</f>
        <v/>
      </c>
    </row>
    <row r="11" ht="15" customHeight="1" s="14">
      <c r="A11" s="16" t="inlineStr">
        <is>
          <t>BR complexity premium</t>
        </is>
      </c>
      <c r="B11" s="25">
        <f>'Data — Permian'!B16</f>
        <v/>
      </c>
    </row>
    <row r="12" ht="15" customHeight="1" s="14">
      <c r="A12" s="16" t="inlineStr">
        <is>
          <t>BR opex</t>
        </is>
      </c>
      <c r="B12" s="25">
        <f>'Data — Permian'!B17</f>
        <v/>
      </c>
    </row>
    <row r="14" ht="15" customHeight="1" s="14">
      <c r="A14" s="17" t="inlineStr">
        <is>
          <t>Your computations — fill the yellow cells</t>
        </is>
      </c>
    </row>
    <row r="15" ht="15" customHeight="1" s="14">
      <c r="A15" s="16" t="inlineStr">
        <is>
          <t>Permian realized wellhead (WTI - discount)</t>
        </is>
      </c>
      <c r="B15" s="26" t="n"/>
    </row>
    <row r="16" ht="15" customHeight="1" s="14">
      <c r="A16" s="16" t="inlineStr">
        <is>
          <t>Product slate value (realized + crack + complexity)</t>
        </is>
      </c>
      <c r="B16" s="26" t="n"/>
    </row>
    <row r="17" ht="15" customHeight="1" s="14">
      <c r="A17" s="16" t="inlineStr">
        <is>
          <t>INTEGRATED margin (product value - marginal cost - BR opex)</t>
        </is>
      </c>
      <c r="B17" s="26" t="n"/>
    </row>
    <row r="18" ht="15" customHeight="1" s="14">
      <c r="A18" s="16" t="inlineStr">
        <is>
          <t>Market-based transfer price (realized + transport)</t>
        </is>
      </c>
      <c r="B18" s="26" t="n"/>
    </row>
    <row r="19" ht="15" customHeight="1" s="14">
      <c r="A19" s="16" t="inlineStr">
        <is>
          <t>Marginal-cost transfer price (marginal cost + capital charge)</t>
        </is>
      </c>
      <c r="B19" s="26" t="n"/>
    </row>
    <row r="20" ht="15" customHeight="1" s="14">
      <c r="A20" s="16" t="inlineStr">
        <is>
          <t>Lazy midpoint transfer price (average of the two above)</t>
        </is>
      </c>
      <c r="B20" s="26" t="n"/>
    </row>
    <row r="22" ht="15" customHeight="1" s="14">
      <c r="A22" s="17" t="inlineStr">
        <is>
          <t>Segment split &amp; bonus impact — fill the yellow cells</t>
        </is>
      </c>
    </row>
    <row r="23" ht="15" customHeight="1" s="14">
      <c r="A23" s="19" t="inlineStr">
        <is>
          <t>Transfer price</t>
        </is>
      </c>
      <c r="B23" s="19" t="inlineStr">
        <is>
          <t>Upstream margin</t>
        </is>
      </c>
      <c r="C23" s="19" t="inlineStr">
        <is>
          <t>Refining margin</t>
        </is>
      </c>
      <c r="D23" s="19" t="inlineStr">
        <is>
          <t>Upstream vs target</t>
        </is>
      </c>
      <c r="E23" s="19" t="inlineStr">
        <is>
          <t>Refining vs target</t>
        </is>
      </c>
    </row>
    <row r="24" ht="15" customHeight="1" s="14">
      <c r="A24" s="16" t="inlineStr">
        <is>
          <t>Market</t>
        </is>
      </c>
      <c r="B24" s="26" t="n"/>
      <c r="C24" s="26" t="n"/>
      <c r="D24" s="26" t="n"/>
      <c r="E24" s="26" t="n"/>
    </row>
    <row r="25" ht="15" customHeight="1" s="14">
      <c r="A25" s="16" t="inlineStr">
        <is>
          <t>Marginal cost</t>
        </is>
      </c>
      <c r="B25" s="26" t="n"/>
      <c r="C25" s="26" t="n"/>
      <c r="D25" s="26" t="n"/>
      <c r="E25" s="26" t="n"/>
    </row>
    <row r="26" ht="15" customHeight="1" s="14">
      <c r="A26" s="16" t="inlineStr">
        <is>
          <t>Lazy midpoint</t>
        </is>
      </c>
      <c r="B26" s="26" t="n"/>
      <c r="C26" s="26" t="n"/>
      <c r="D26" s="26" t="n"/>
      <c r="E26" s="26" t="n"/>
    </row>
    <row r="28" ht="15" customHeight="1" s="14">
      <c r="A28" s="22" t="inlineStr">
        <is>
          <t>Targets: Upstream $45.00/bbl, Refining $30.00/bbl (from Data — Compensation).</t>
        </is>
      </c>
    </row>
    <row r="29" ht="15" customHeight="1" s="14">
      <c r="A29" s="17" t="inlineStr">
        <is>
          <t>Geneva arbitrage under lazy midpoint — fill the yellow cell:</t>
        </is>
      </c>
    </row>
    <row r="30" ht="15" customHeight="1" s="14">
      <c r="A30" s="16" t="inlineStr">
        <is>
          <t>Value captured by Geneva ($/bbl on the gap) = 0.35 x (market TP - lazy TP)</t>
        </is>
      </c>
      <c r="B30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2026-09-18T17:56:09Z</dcterms:created>
  <dcterms:modified xmlns:dcterms="http://purl.org/dc/terms/" xmlns:xsi="http://www.w3.org/2001/XMLSchema-instance" xsi:type="dcterms:W3CDTF">2026-10-10T19:24:50Z</dcterms:modified>
  <cp:revision>0</cp:revision>
</cp:coreProperties>
</file>