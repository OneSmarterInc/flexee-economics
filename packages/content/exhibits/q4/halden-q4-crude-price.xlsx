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ta — Permian" sheetId="2" state="visible" r:id="rId4"/>
    <sheet name="Data — Compensation" sheetId="3" state="visible" r:id="rId5"/>
    <sheet name="Worked Example" sheetId="4" state="visible" r:id="rId6"/>
    <sheet name="Your Analysi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2024 vintage is the marginal barrel — the cheapest to lift, the one produced last.</t>
        </r>
      </text>
    </comment>
  </commentList>
</comments>
</file>

<file path=xl/sharedStrings.xml><?xml version="1.0" encoding="utf-8"?>
<sst xmlns="http://schemas.openxmlformats.org/spreadsheetml/2006/main" count="105" uniqueCount="93">
  <si>
    <t xml:space="preserve">Halden Energy — Week 4: Transfer Pricing</t>
  </si>
  <si>
    <t xml:space="preserve">Decision: set the internal transfer price for Permian crude sold to the Baton Rouge refinery.</t>
  </si>
  <si>
    <t xml:space="preserve">Three anchor options: market-based, marginal-cost, or a lazy midpoint. You may also set an intermediate value.</t>
  </si>
  <si>
    <t xml:space="preserve">How this workbook is organized:</t>
  </si>
  <si>
    <t xml:space="preserve">  Tab: Data — Permian</t>
  </si>
  <si>
    <t xml:space="preserve">The lifting costs and cost constants you compute from. Read-only reference.</t>
  </si>
  <si>
    <t xml:space="preserve">  Tab: Data — Compensation</t>
  </si>
  <si>
    <t xml:space="preserve">The segment compensation plan. Read this carefully — it explains the politics.</t>
  </si>
  <si>
    <t xml:space="preserve">  Tab: Worked Example</t>
  </si>
  <si>
    <t xml:space="preserve">A fully solved example on a PRIOR period (WTI $68). Study the method here first.</t>
  </si>
  <si>
    <t xml:space="preserve">  Tab: Your Analysis</t>
  </si>
  <si>
    <t xml:space="preserve">The current week (WTI $74). Fill the YELLOW cells. This is your work.</t>
  </si>
  <si>
    <t xml:space="preserve">Color legend:</t>
  </si>
  <si>
    <t xml:space="preserve">  Blue text</t>
  </si>
  <si>
    <t xml:space="preserve">A hardcoded input or given constant. Do not change.</t>
  </si>
  <si>
    <t xml:space="preserve">  Black text</t>
  </si>
  <si>
    <t xml:space="preserve">A formula that computes from other cells.</t>
  </si>
  <si>
    <t xml:space="preserve">  Yellow fill</t>
  </si>
  <si>
    <t xml:space="preserve">A cell for YOU to fill in on the Your Analysis tab.</t>
  </si>
  <si>
    <t xml:space="preserve">The key insight to test:</t>
  </si>
  <si>
    <t xml:space="preserve">  Halden's integrated margin per barrel does NOT change with the transfer price.</t>
  </si>
  <si>
    <t xml:space="preserve">  The transfer price only splits that fixed margin between Upstream and Refining.</t>
  </si>
  <si>
    <t xml:space="preserve">  Check this yourself in the Worked Example before doing Your Analysis.</t>
  </si>
  <si>
    <t xml:space="preserve">Permian Lifting Costs by Vintage</t>
  </si>
  <si>
    <t xml:space="preserve">Vintage</t>
  </si>
  <si>
    <t xml:space="preserve">Cash lifting cost ($/bbl)</t>
  </si>
  <si>
    <t xml:space="preserve">Production share</t>
  </si>
  <si>
    <t xml:space="preserve">Cost constants ($/bbl):</t>
  </si>
  <si>
    <t xml:space="preserve">WTI benchmark (this week)</t>
  </si>
  <si>
    <t xml:space="preserve">Permian wellhead discount to WTI</t>
  </si>
  <si>
    <t xml:space="preserve">Gathering cost</t>
  </si>
  <si>
    <t xml:space="preserve">Transport Permian to Baton Rouge</t>
  </si>
  <si>
    <t xml:space="preserve">Short-run capital recovery charge</t>
  </si>
  <si>
    <t xml:space="preserve">Gulf Coast 3-2-1 crack (this week)</t>
  </si>
  <si>
    <t xml:space="preserve">Baton Rouge complexity premium</t>
  </si>
  <si>
    <t xml:space="preserve">Baton Rouge refining opex</t>
  </si>
  <si>
    <t xml:space="preserve">Geneva arbitrage capture rate</t>
  </si>
  <si>
    <t xml:space="preserve">Geneva max arbitrage volume (bbl/day)</t>
  </si>
  <si>
    <t xml:space="preserve">Segment Compensation Plan</t>
  </si>
  <si>
    <t xml:space="preserve">Segment heads are bonused on their own segment margin vs target. Nobody rewrote this when the EVP role was created.</t>
  </si>
  <si>
    <t xml:space="preserve">Segment</t>
  </si>
  <si>
    <t xml:space="preserve">Bonus basis</t>
  </si>
  <si>
    <t xml:space="preserve">Target margin ($/bbl)</t>
  </si>
  <si>
    <t xml:space="preserve">upstream</t>
  </si>
  <si>
    <t xml:space="preserve">segment margin per bbl vs target</t>
  </si>
  <si>
    <t xml:space="preserve">refining</t>
  </si>
  <si>
    <t xml:space="preserve">trading</t>
  </si>
  <si>
    <t xml:space="preserve">desk P&amp;L vs budget</t>
  </si>
  <si>
    <t xml:space="preserve">—</t>
  </si>
  <si>
    <t xml:space="preserve">Worked Example — Prior Period (WTI $68). Study the method, then replicate on Your Analysis.</t>
  </si>
  <si>
    <t xml:space="preserve">All figures $/bbl. Blue = given input. Black = formula. The point: integrated margin is the same under every transfer price.</t>
  </si>
  <si>
    <t xml:space="preserve">Inputs</t>
  </si>
  <si>
    <t xml:space="preserve">WTI (prior)</t>
  </si>
  <si>
    <t xml:space="preserve">Permian wellhead discount</t>
  </si>
  <si>
    <t xml:space="preserve">Transport to Baton Rouge</t>
  </si>
  <si>
    <t xml:space="preserve">Delivered marginal cost</t>
  </si>
  <si>
    <t xml:space="preserve">Short-run capital charge</t>
  </si>
  <si>
    <t xml:space="preserve">Gulf Coast crack (prior)</t>
  </si>
  <si>
    <t xml:space="preserve">BR complexity premium</t>
  </si>
  <si>
    <t xml:space="preserve">BR opex</t>
  </si>
  <si>
    <t xml:space="preserve">Derived quantities</t>
  </si>
  <si>
    <t xml:space="preserve">Permian realized wellhead (WTI - discount)</t>
  </si>
  <si>
    <t xml:space="preserve">Product slate value (realized + crack + complexity)</t>
  </si>
  <si>
    <t xml:space="preserve">INTEGRATED margin (product value - marginal cost - BR opex)</t>
  </si>
  <si>
    <t xml:space="preserve">Transfer price options</t>
  </si>
  <si>
    <t xml:space="preserve">Market-based TP (realized + transport)</t>
  </si>
  <si>
    <t xml:space="preserve">Marginal-cost TP (marginal cost + capital charge)</t>
  </si>
  <si>
    <t xml:space="preserve">Segment split check (shows integrated margin is invariant)</t>
  </si>
  <si>
    <t xml:space="preserve">Transfer price</t>
  </si>
  <si>
    <t xml:space="preserve">Upstream margin</t>
  </si>
  <si>
    <t xml:space="preserve">Refining margin</t>
  </si>
  <si>
    <t xml:space="preserve">Sum (= integrated)</t>
  </si>
  <si>
    <t xml:space="preserve">Note: column 4 (the sum) equals the integrated margin above under BOTH transfer prices.</t>
  </si>
  <si>
    <t xml:space="preserve">The transfer price moved margin between Upstream and Refining. It did not change the total.</t>
  </si>
  <si>
    <t xml:space="preserve">Your Analysis — Current Week (WTI $74). Fill the YELLOW cells using the same method as the Worked Example.</t>
  </si>
  <si>
    <t xml:space="preserve">Inputs are pulled from the Data — Permian tab (blue). Compute the yellow cells with formulas.</t>
  </si>
  <si>
    <t xml:space="preserve">Inputs (from Data — Permian)</t>
  </si>
  <si>
    <t xml:space="preserve">WTI</t>
  </si>
  <si>
    <t xml:space="preserve">Delivered marginal cost (=lift 8.80 + gathering + transport)</t>
  </si>
  <si>
    <t xml:space="preserve">Gulf Coast crack</t>
  </si>
  <si>
    <t xml:space="preserve">Your computations — fill the yellow cells</t>
  </si>
  <si>
    <t xml:space="preserve">Market-based transfer price (realized + transport)</t>
  </si>
  <si>
    <t xml:space="preserve">Marginal-cost transfer price (marginal cost + capital charge)</t>
  </si>
  <si>
    <t xml:space="preserve">Lazy midpoint transfer price (average of the two above)</t>
  </si>
  <si>
    <t xml:space="preserve">Segment split &amp; bonus impact — fill the yellow cells</t>
  </si>
  <si>
    <t xml:space="preserve">Upstream vs target</t>
  </si>
  <si>
    <t xml:space="preserve">Refining vs target</t>
  </si>
  <si>
    <t xml:space="preserve">Market</t>
  </si>
  <si>
    <t xml:space="preserve">Marginal cost</t>
  </si>
  <si>
    <t xml:space="preserve">Lazy midpoint</t>
  </si>
  <si>
    <t xml:space="preserve">Targets: Upstream $45.00/bbl, Refining $30.00/bbl (from Data — Compensation).</t>
  </si>
  <si>
    <t xml:space="preserve">Geneva arbitrage under lazy midpoint — fill the yellow cell:</t>
  </si>
  <si>
    <t xml:space="preserve">Value captured by Geneva ($/bbl on the gap) = 0.35 x (market TP - lazy TP)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</si>
</sst>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6" customFormat="false" ht="15" hidden="false" customHeight="false" outlineLevel="0" collapsed="false">
      <c r="A6" s="2"/>
      <c r="B6" s="2"/>
    </row>
    <row r="7" customFormat="false" ht="15" hidden="false" customHeight="false" outlineLevel="0" collapsed="false">
      <c r="A7" s="3" t="s">
        <v>3</v>
      </c>
      <c r="B7" s="2"/>
    </row>
    <row r="8" customFormat="false" ht="15" hidden="false" customHeight="false" outlineLevel="0" collapsed="false">
      <c r="A8" s="2" t="s">
        <v>4</v>
      </c>
      <c r="B8" s="2" t="s">
        <v>5</v>
      </c>
    </row>
    <row r="9" customFormat="false" ht="15" hidden="false" customHeight="false" outlineLevel="0" collapsed="false">
      <c r="A9" s="2" t="s">
        <v>6</v>
      </c>
      <c r="B9" s="2" t="s">
        <v>7</v>
      </c>
    </row>
    <row r="10" customFormat="false" ht="15" hidden="false" customHeight="false" outlineLevel="0" collapsed="false">
      <c r="A10" s="2" t="s">
        <v>8</v>
      </c>
      <c r="B10" s="2" t="s">
        <v>9</v>
      </c>
    </row>
    <row r="11" customFormat="false" ht="15" hidden="false" customHeight="false" outlineLevel="0" collapsed="false">
      <c r="A11" s="2" t="s">
        <v>10</v>
      </c>
      <c r="B11" s="2" t="s">
        <v>11</v>
      </c>
    </row>
    <row r="12" customFormat="false" ht="15" hidden="false" customHeight="false" outlineLevel="0" collapsed="false">
      <c r="A12" s="2"/>
      <c r="B12" s="2"/>
    </row>
    <row r="13" customFormat="false" ht="15" hidden="false" customHeight="false" outlineLevel="0" collapsed="false">
      <c r="A13" s="3" t="s">
        <v>12</v>
      </c>
      <c r="B13" s="2"/>
    </row>
    <row r="14" customFormat="false" ht="15" hidden="false" customHeight="false" outlineLevel="0" collapsed="false">
      <c r="A14" s="2" t="s">
        <v>13</v>
      </c>
      <c r="B14" s="2" t="s">
        <v>14</v>
      </c>
    </row>
    <row r="15" customFormat="false" ht="15" hidden="false" customHeight="false" outlineLevel="0" collapsed="false">
      <c r="A15" s="2" t="s">
        <v>15</v>
      </c>
      <c r="B15" s="2" t="s">
        <v>16</v>
      </c>
    </row>
    <row r="16" customFormat="false" ht="15" hidden="false" customHeight="false" outlineLevel="0" collapsed="false">
      <c r="A16" s="2" t="s">
        <v>17</v>
      </c>
      <c r="B16" s="2" t="s">
        <v>18</v>
      </c>
    </row>
    <row r="17" customFormat="false" ht="15" hidden="false" customHeight="false" outlineLevel="0" collapsed="false">
      <c r="A17" s="2"/>
      <c r="B17" s="2"/>
    </row>
    <row r="18" customFormat="false" ht="15" hidden="false" customHeight="false" outlineLevel="0" collapsed="false">
      <c r="A18" s="3" t="s">
        <v>19</v>
      </c>
      <c r="B18" s="2"/>
    </row>
    <row r="19" customFormat="false" ht="15" hidden="false" customHeight="false" outlineLevel="0" collapsed="false">
      <c r="A19" s="2" t="s">
        <v>20</v>
      </c>
      <c r="B19" s="2"/>
    </row>
    <row r="20" customFormat="false" ht="15" hidden="false" customHeight="false" outlineLevel="0" collapsed="false">
      <c r="A20" s="2" t="s">
        <v>21</v>
      </c>
      <c r="B20" s="2"/>
    </row>
    <row r="21" customFormat="false" ht="15" hidden="false" customHeight="false" outlineLevel="0" collapsed="false">
      <c r="A21" s="2" t="s">
        <v>22</v>
      </c>
      <c r="B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23</v>
      </c>
    </row>
    <row r="3" customFormat="false" ht="15" hidden="false" customHeight="false" outlineLevel="0" collapsed="false">
      <c r="A3" s="5" t="s">
        <v>24</v>
      </c>
      <c r="B3" s="5" t="s">
        <v>25</v>
      </c>
      <c r="C3" s="5" t="s">
        <v>26</v>
      </c>
    </row>
    <row r="4" customFormat="false" ht="15" hidden="false" customHeight="false" outlineLevel="0" collapsed="false">
      <c r="A4" s="6" t="n">
        <v>2021</v>
      </c>
      <c r="B4" s="6" t="n">
        <v>11.5</v>
      </c>
      <c r="C4" s="7" t="n">
        <v>0.18</v>
      </c>
    </row>
    <row r="5" customFormat="false" ht="15" hidden="false" customHeight="false" outlineLevel="0" collapsed="false">
      <c r="A5" s="6" t="n">
        <v>2022</v>
      </c>
      <c r="B5" s="6" t="n">
        <v>10.2</v>
      </c>
      <c r="C5" s="7" t="n">
        <v>0.24</v>
      </c>
    </row>
    <row r="6" customFormat="false" ht="15" hidden="false" customHeight="false" outlineLevel="0" collapsed="false">
      <c r="A6" s="6" t="n">
        <v>2023</v>
      </c>
      <c r="B6" s="6" t="n">
        <v>9.4</v>
      </c>
      <c r="C6" s="7" t="n">
        <v>0.31</v>
      </c>
    </row>
    <row r="7" customFormat="false" ht="15" hidden="false" customHeight="false" outlineLevel="0" collapsed="false">
      <c r="A7" s="6" t="n">
        <v>2024</v>
      </c>
      <c r="B7" s="6" t="n">
        <v>8.8</v>
      </c>
      <c r="C7" s="7" t="n">
        <v>0.27</v>
      </c>
    </row>
    <row r="9" customFormat="false" ht="15" hidden="false" customHeight="false" outlineLevel="0" collapsed="false">
      <c r="A9" s="3" t="s">
        <v>27</v>
      </c>
    </row>
    <row r="10" customFormat="false" ht="15" hidden="false" customHeight="false" outlineLevel="0" collapsed="false">
      <c r="A10" s="2" t="s">
        <v>28</v>
      </c>
      <c r="B10" s="6" t="n">
        <v>74</v>
      </c>
    </row>
    <row r="11" customFormat="false" ht="15" hidden="false" customHeight="false" outlineLevel="0" collapsed="false">
      <c r="A11" s="2" t="s">
        <v>29</v>
      </c>
      <c r="B11" s="6" t="n">
        <v>3.5</v>
      </c>
    </row>
    <row r="12" customFormat="false" ht="15" hidden="false" customHeight="false" outlineLevel="0" collapsed="false">
      <c r="A12" s="2" t="s">
        <v>30</v>
      </c>
      <c r="B12" s="6" t="n">
        <v>2.1</v>
      </c>
    </row>
    <row r="13" customFormat="false" ht="15" hidden="false" customHeight="false" outlineLevel="0" collapsed="false">
      <c r="A13" s="2" t="s">
        <v>31</v>
      </c>
      <c r="B13" s="6" t="n">
        <v>3.2</v>
      </c>
    </row>
    <row r="14" customFormat="false" ht="15" hidden="false" customHeight="false" outlineLevel="0" collapsed="false">
      <c r="A14" s="2" t="s">
        <v>32</v>
      </c>
      <c r="B14" s="6" t="n">
        <v>4.6</v>
      </c>
    </row>
    <row r="15" customFormat="false" ht="15" hidden="false" customHeight="false" outlineLevel="0" collapsed="false">
      <c r="A15" s="2" t="s">
        <v>33</v>
      </c>
      <c r="B15" s="6" t="n">
        <v>21.5</v>
      </c>
    </row>
    <row r="16" customFormat="false" ht="15" hidden="false" customHeight="false" outlineLevel="0" collapsed="false">
      <c r="A16" s="2" t="s">
        <v>34</v>
      </c>
      <c r="B16" s="6" t="n">
        <v>4.75</v>
      </c>
    </row>
    <row r="17" customFormat="false" ht="15" hidden="false" customHeight="false" outlineLevel="0" collapsed="false">
      <c r="A17" s="2" t="s">
        <v>35</v>
      </c>
      <c r="B17" s="6" t="n">
        <v>5.9</v>
      </c>
    </row>
    <row r="18" customFormat="false" ht="15" hidden="false" customHeight="false" outlineLevel="0" collapsed="false">
      <c r="A18" s="2" t="s">
        <v>36</v>
      </c>
      <c r="B18" s="6" t="n">
        <v>0.35</v>
      </c>
    </row>
    <row r="19" customFormat="false" ht="15" hidden="false" customHeight="false" outlineLevel="0" collapsed="false">
      <c r="A19" s="2" t="s">
        <v>37</v>
      </c>
      <c r="B19" s="6" t="n">
        <v>40000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4" t="s">
        <v>38</v>
      </c>
    </row>
    <row r="2" customFormat="false" ht="15" hidden="false" customHeight="false" outlineLevel="0" collapsed="false">
      <c r="A2" s="8" t="s">
        <v>39</v>
      </c>
    </row>
    <row r="4" customFormat="false" ht="15" hidden="false" customHeight="false" outlineLevel="0" collapsed="false">
      <c r="A4" s="5" t="s">
        <v>40</v>
      </c>
      <c r="B4" s="5" t="s">
        <v>41</v>
      </c>
      <c r="C4" s="5" t="s">
        <v>42</v>
      </c>
    </row>
    <row r="5" customFormat="false" ht="15" hidden="false" customHeight="false" outlineLevel="0" collapsed="false">
      <c r="A5" s="2" t="s">
        <v>43</v>
      </c>
      <c r="B5" s="2" t="s">
        <v>44</v>
      </c>
      <c r="C5" s="6" t="n">
        <v>45</v>
      </c>
    </row>
    <row r="6" customFormat="false" ht="15" hidden="false" customHeight="false" outlineLevel="0" collapsed="false">
      <c r="A6" s="2" t="s">
        <v>45</v>
      </c>
      <c r="B6" s="2" t="s">
        <v>44</v>
      </c>
      <c r="C6" s="6" t="n">
        <v>30</v>
      </c>
    </row>
    <row r="7" customFormat="false" ht="15" hidden="false" customHeight="false" outlineLevel="0" collapsed="false">
      <c r="A7" s="2" t="s">
        <v>46</v>
      </c>
      <c r="B7" s="2" t="s">
        <v>47</v>
      </c>
      <c r="C7" s="6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4" t="s">
        <v>49</v>
      </c>
    </row>
    <row r="2" customFormat="false" ht="15" hidden="false" customHeight="false" outlineLevel="0" collapsed="false">
      <c r="A2" s="8" t="s">
        <v>50</v>
      </c>
    </row>
    <row r="4" customFormat="false" ht="15" hidden="false" customHeight="false" outlineLevel="0" collapsed="false">
      <c r="A4" s="3" t="s">
        <v>51</v>
      </c>
    </row>
    <row r="5" customFormat="false" ht="15" hidden="false" customHeight="false" outlineLevel="0" collapsed="false">
      <c r="A5" s="2" t="s">
        <v>52</v>
      </c>
      <c r="B5" s="9" t="n">
        <v>68</v>
      </c>
    </row>
    <row r="6" customFormat="false" ht="15" hidden="false" customHeight="false" outlineLevel="0" collapsed="false">
      <c r="A6" s="2" t="s">
        <v>53</v>
      </c>
      <c r="B6" s="9" t="n">
        <v>3.5</v>
      </c>
    </row>
    <row r="7" customFormat="false" ht="15" hidden="false" customHeight="false" outlineLevel="0" collapsed="false">
      <c r="A7" s="2" t="s">
        <v>54</v>
      </c>
      <c r="B7" s="9" t="n">
        <v>3.2</v>
      </c>
    </row>
    <row r="8" customFormat="false" ht="15" hidden="false" customHeight="false" outlineLevel="0" collapsed="false">
      <c r="A8" s="2" t="s">
        <v>55</v>
      </c>
      <c r="B8" s="9" t="n">
        <v>14.1</v>
      </c>
    </row>
    <row r="9" customFormat="false" ht="15" hidden="false" customHeight="false" outlineLevel="0" collapsed="false">
      <c r="A9" s="2" t="s">
        <v>56</v>
      </c>
      <c r="B9" s="9" t="n">
        <v>4.6</v>
      </c>
    </row>
    <row r="10" customFormat="false" ht="15" hidden="false" customHeight="false" outlineLevel="0" collapsed="false">
      <c r="A10" s="2" t="s">
        <v>57</v>
      </c>
      <c r="B10" s="9" t="n">
        <v>19</v>
      </c>
    </row>
    <row r="11" customFormat="false" ht="15" hidden="false" customHeight="false" outlineLevel="0" collapsed="false">
      <c r="A11" s="2" t="s">
        <v>58</v>
      </c>
      <c r="B11" s="9" t="n">
        <v>4.75</v>
      </c>
    </row>
    <row r="12" customFormat="false" ht="15" hidden="false" customHeight="false" outlineLevel="0" collapsed="false">
      <c r="A12" s="2" t="s">
        <v>59</v>
      </c>
      <c r="B12" s="9" t="n">
        <v>5.9</v>
      </c>
    </row>
    <row r="14" customFormat="false" ht="15" hidden="false" customHeight="false" outlineLevel="0" collapsed="false">
      <c r="A14" s="3" t="s">
        <v>60</v>
      </c>
    </row>
    <row r="15" customFormat="false" ht="15" hidden="false" customHeight="false" outlineLevel="0" collapsed="false">
      <c r="A15" s="2" t="s">
        <v>61</v>
      </c>
      <c r="B15" s="10" t="n">
        <f aca="false">B5-B6</f>
        <v>64.5</v>
      </c>
    </row>
    <row r="16" customFormat="false" ht="15" hidden="false" customHeight="false" outlineLevel="0" collapsed="false">
      <c r="A16" s="2" t="s">
        <v>62</v>
      </c>
      <c r="B16" s="10" t="n">
        <f aca="false">B15+B10+B11</f>
        <v>88.25</v>
      </c>
    </row>
    <row r="17" customFormat="false" ht="15" hidden="false" customHeight="false" outlineLevel="0" collapsed="false">
      <c r="A17" s="3" t="s">
        <v>63</v>
      </c>
      <c r="B17" s="10" t="n">
        <f aca="false">B16-B8-B12</f>
        <v>68.25</v>
      </c>
    </row>
    <row r="19" customFormat="false" ht="15" hidden="false" customHeight="false" outlineLevel="0" collapsed="false">
      <c r="A19" s="3" t="s">
        <v>64</v>
      </c>
    </row>
    <row r="20" customFormat="false" ht="15" hidden="false" customHeight="false" outlineLevel="0" collapsed="false">
      <c r="A20" s="2" t="s">
        <v>65</v>
      </c>
      <c r="B20" s="10" t="n">
        <f aca="false">B15+B7</f>
        <v>67.7</v>
      </c>
    </row>
    <row r="21" customFormat="false" ht="15" hidden="false" customHeight="false" outlineLevel="0" collapsed="false">
      <c r="A21" s="2" t="s">
        <v>66</v>
      </c>
      <c r="B21" s="10" t="n">
        <f aca="false">B8+B9</f>
        <v>18.7</v>
      </c>
    </row>
    <row r="23" customFormat="false" ht="15" hidden="false" customHeight="false" outlineLevel="0" collapsed="false">
      <c r="A23" s="3" t="s">
        <v>67</v>
      </c>
    </row>
    <row r="24" customFormat="false" ht="15" hidden="false" customHeight="false" outlineLevel="0" collapsed="false">
      <c r="A24" s="5" t="s">
        <v>68</v>
      </c>
      <c r="B24" s="5" t="s">
        <v>69</v>
      </c>
      <c r="C24" s="5" t="s">
        <v>70</v>
      </c>
      <c r="D24" s="5" t="s">
        <v>71</v>
      </c>
    </row>
    <row r="25" customFormat="false" ht="15" hidden="false" customHeight="false" outlineLevel="0" collapsed="false">
      <c r="A25" s="10" t="n">
        <f aca="false">B20</f>
        <v>67.7</v>
      </c>
      <c r="B25" s="10" t="n">
        <f aca="false">A25-B8</f>
        <v>53.6</v>
      </c>
      <c r="C25" s="10" t="n">
        <f aca="false">B16-A25-B12</f>
        <v>14.65</v>
      </c>
      <c r="D25" s="10" t="n">
        <f aca="false">B25+C25</f>
        <v>68.25</v>
      </c>
    </row>
    <row r="26" customFormat="false" ht="15" hidden="false" customHeight="false" outlineLevel="0" collapsed="false">
      <c r="A26" s="10" t="n">
        <f aca="false">B21</f>
        <v>18.7</v>
      </c>
      <c r="B26" s="10" t="n">
        <f aca="false">A26-B8</f>
        <v>4.6</v>
      </c>
      <c r="C26" s="10" t="n">
        <f aca="false">B16-A26-B12</f>
        <v>63.65</v>
      </c>
      <c r="D26" s="10" t="n">
        <f aca="false">B26+C26</f>
        <v>68.25</v>
      </c>
    </row>
    <row r="28" customFormat="false" ht="15" hidden="false" customHeight="false" outlineLevel="0" collapsed="false">
      <c r="A28" s="8" t="s">
        <v>72</v>
      </c>
    </row>
    <row r="29" customFormat="false" ht="15" hidden="false" customHeight="false" outlineLevel="0" collapsed="false">
      <c r="A29" s="8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8"/>
  </cols>
  <sheetData>
    <row r="1" customFormat="false" ht="15" hidden="false" customHeight="false" outlineLevel="0" collapsed="false">
      <c r="A1" s="4" t="s">
        <v>74</v>
      </c>
    </row>
    <row r="2" customFormat="false" ht="15" hidden="false" customHeight="false" outlineLevel="0" collapsed="false">
      <c r="A2" s="8" t="s">
        <v>75</v>
      </c>
    </row>
    <row r="4" customFormat="false" ht="15" hidden="false" customHeight="false" outlineLevel="0" collapsed="false">
      <c r="A4" s="3" t="s">
        <v>76</v>
      </c>
    </row>
    <row r="5" customFormat="false" ht="15" hidden="false" customHeight="false" outlineLevel="0" collapsed="false">
      <c r="A5" s="2" t="s">
        <v>77</v>
      </c>
      <c r="B5" s="11" t="n">
        <f aca="false">'Data — Permian'!B10</f>
        <v>74</v>
      </c>
    </row>
    <row r="6" customFormat="false" ht="15" hidden="false" customHeight="false" outlineLevel="0" collapsed="false">
      <c r="A6" s="2" t="s">
        <v>53</v>
      </c>
      <c r="B6" s="11" t="n">
        <f aca="false">'Data — Permian'!B11</f>
        <v>3.5</v>
      </c>
    </row>
    <row r="7" customFormat="false" ht="15" hidden="false" customHeight="false" outlineLevel="0" collapsed="false">
      <c r="A7" s="2" t="s">
        <v>54</v>
      </c>
      <c r="B7" s="11" t="n">
        <f aca="false">'Data — Permian'!B13</f>
        <v>3.2</v>
      </c>
    </row>
    <row r="8" customFormat="false" ht="15" hidden="false" customHeight="false" outlineLevel="0" collapsed="false">
      <c r="A8" s="2" t="s">
        <v>78</v>
      </c>
      <c r="B8" s="11" t="n">
        <f aca="false">8.8+'Data — Permian'!B12+'Data — Permian'!B13</f>
        <v>14.1</v>
      </c>
    </row>
    <row r="9" customFormat="false" ht="15" hidden="false" customHeight="false" outlineLevel="0" collapsed="false">
      <c r="A9" s="2" t="s">
        <v>56</v>
      </c>
      <c r="B9" s="11" t="n">
        <f aca="false">'Data — Permian'!B14</f>
        <v>4.6</v>
      </c>
    </row>
    <row r="10" customFormat="false" ht="15" hidden="false" customHeight="false" outlineLevel="0" collapsed="false">
      <c r="A10" s="2" t="s">
        <v>79</v>
      </c>
      <c r="B10" s="11" t="n">
        <f aca="false">'Data — Permian'!B15</f>
        <v>21.5</v>
      </c>
    </row>
    <row r="11" customFormat="false" ht="15" hidden="false" customHeight="false" outlineLevel="0" collapsed="false">
      <c r="A11" s="2" t="s">
        <v>58</v>
      </c>
      <c r="B11" s="11" t="n">
        <f aca="false">'Data — Permian'!B16</f>
        <v>4.75</v>
      </c>
    </row>
    <row r="12" customFormat="false" ht="15" hidden="false" customHeight="false" outlineLevel="0" collapsed="false">
      <c r="A12" s="2" t="s">
        <v>59</v>
      </c>
      <c r="B12" s="11" t="n">
        <f aca="false">'Data — Permian'!B17</f>
        <v>5.9</v>
      </c>
    </row>
    <row r="14" customFormat="false" ht="15" hidden="false" customHeight="false" outlineLevel="0" collapsed="false">
      <c r="A14" s="3" t="s">
        <v>80</v>
      </c>
    </row>
    <row r="15" customFormat="false" ht="15" hidden="false" customHeight="false" outlineLevel="0" collapsed="false">
      <c r="A15" s="2" t="s">
        <v>61</v>
      </c>
      <c r="B15" s="12"/>
    </row>
    <row r="16" customFormat="false" ht="15" hidden="false" customHeight="false" outlineLevel="0" collapsed="false">
      <c r="A16" s="2" t="s">
        <v>62</v>
      </c>
      <c r="B16" s="12"/>
    </row>
    <row r="17" customFormat="false" ht="15" hidden="false" customHeight="false" outlineLevel="0" collapsed="false">
      <c r="A17" s="2" t="s">
        <v>63</v>
      </c>
      <c r="B17" s="12"/>
    </row>
    <row r="18" customFormat="false" ht="15" hidden="false" customHeight="false" outlineLevel="0" collapsed="false">
      <c r="A18" s="2" t="s">
        <v>81</v>
      </c>
      <c r="B18" s="12"/>
    </row>
    <row r="19" customFormat="false" ht="15" hidden="false" customHeight="false" outlineLevel="0" collapsed="false">
      <c r="A19" s="2" t="s">
        <v>82</v>
      </c>
      <c r="B19" s="12"/>
    </row>
    <row r="20" customFormat="false" ht="15" hidden="false" customHeight="false" outlineLevel="0" collapsed="false">
      <c r="A20" s="2" t="s">
        <v>83</v>
      </c>
      <c r="B20" s="12"/>
    </row>
    <row r="22" customFormat="false" ht="15" hidden="false" customHeight="false" outlineLevel="0" collapsed="false">
      <c r="A22" s="3" t="s">
        <v>84</v>
      </c>
    </row>
    <row r="23" customFormat="false" ht="15" hidden="false" customHeight="false" outlineLevel="0" collapsed="false">
      <c r="A23" s="5" t="s">
        <v>68</v>
      </c>
      <c r="B23" s="5" t="s">
        <v>69</v>
      </c>
      <c r="C23" s="5" t="s">
        <v>70</v>
      </c>
      <c r="D23" s="5" t="s">
        <v>85</v>
      </c>
      <c r="E23" s="5" t="s">
        <v>86</v>
      </c>
    </row>
    <row r="24" customFormat="false" ht="15" hidden="false" customHeight="false" outlineLevel="0" collapsed="false">
      <c r="A24" s="2" t="s">
        <v>87</v>
      </c>
      <c r="B24" s="12"/>
      <c r="C24" s="12"/>
      <c r="D24" s="12"/>
      <c r="E24" s="12"/>
    </row>
    <row r="25" customFormat="false" ht="15" hidden="false" customHeight="false" outlineLevel="0" collapsed="false">
      <c r="A25" s="2" t="s">
        <v>88</v>
      </c>
      <c r="B25" s="12"/>
      <c r="C25" s="12"/>
      <c r="D25" s="12"/>
      <c r="E25" s="12"/>
    </row>
    <row r="26" customFormat="false" ht="15" hidden="false" customHeight="false" outlineLevel="0" collapsed="false">
      <c r="A26" s="2" t="s">
        <v>89</v>
      </c>
      <c r="B26" s="12"/>
      <c r="C26" s="12"/>
      <c r="D26" s="12"/>
      <c r="E26" s="12"/>
    </row>
    <row r="28" customFormat="false" ht="15" hidden="false" customHeight="false" outlineLevel="0" collapsed="false">
      <c r="A28" s="8" t="s">
        <v>90</v>
      </c>
    </row>
    <row r="29" customFormat="false" ht="15" hidden="false" customHeight="false" outlineLevel="0" collapsed="false">
      <c r="A29" s="3" t="s">
        <v>91</v>
      </c>
    </row>
    <row r="30" customFormat="false" ht="15" hidden="false" customHeight="false" outlineLevel="0" collapsed="false">
      <c r="A30" s="2" t="s">
        <v>92</v>
      </c>
      <c r="B3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2026-09-18T17:56:09Z</dcterms:created>
  <dc:creator>openpyxl</dc:creator>
  <dc:description/>
  <dc:language>en-US</dc:language>
  <cp:lastModifiedBy/>
  <dcterms:modified xsi:type="dcterms:W3CDTF">2026-09-18T17:56:55Z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