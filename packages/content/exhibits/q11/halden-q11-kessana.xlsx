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— The contract" sheetId="2" state="visible" r:id="rId2"/>
    <sheet xmlns:r="http://schemas.openxmlformats.org/officeDocument/2006/relationships" name="Data — The field" sheetId="3" state="visible" r:id="rId3"/>
    <sheet xmlns:r="http://schemas.openxmlformats.org/officeDocument/2006/relationships" name="Data — Leaving" sheetId="4" state="visible" r:id="rId4"/>
    <sheet xmlns:r="http://schemas.openxmlformats.org/officeDocument/2006/relationships" name="Data — Takes to test" sheetId="5" state="visible" r:id="rId5"/>
    <sheet xmlns:r="http://schemas.openxmlformats.org/officeDocument/2006/relationships" name="Data — Contracts next door" sheetId="6" state="visible" r:id="rId6"/>
    <sheet xmlns:r="http://schemas.openxmlformats.org/officeDocument/2006/relationships" name="Data — Worked example field" sheetId="7" state="visible" r:id="rId7"/>
    <sheet xmlns:r="http://schemas.openxmlformats.org/officeDocument/2006/relationships" name="Worked Example" sheetId="8" state="visible" r:id="rId8"/>
    <sheet xmlns:r="http://schemas.openxmlformats.org/officeDocument/2006/relationships" name="Your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1F4E7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Halden Energy — Quarter 11: Kessana wants a bigger share</t>
        </is>
      </c>
    </row>
    <row r="2">
      <c r="A2" t="inlineStr"/>
    </row>
    <row r="3">
      <c r="A3" t="inlineStr">
        <is>
          <t>The Kessana government wants 74% of the field's profit oil instead of 62%. Halden's $2.8 billion of development capital is already in the ground.</t>
        </is>
      </c>
    </row>
    <row r="4">
      <c r="A4" t="inlineStr">
        <is>
          <t>That money is irrelevant to the decision. It is also exactly why the government has the upper hand.</t>
        </is>
      </c>
    </row>
    <row r="5">
      <c r="A5" t="inlineStr">
        <is>
          <t>Work out what staying is worth at each take, and what leaving is worth. Then ask what, beyond the spreadsheet, limits how far they can push.</t>
        </is>
      </c>
    </row>
    <row r="6">
      <c r="A6" t="inlineStr"/>
    </row>
    <row r="7">
      <c r="A7" s="2" t="inlineStr">
        <is>
          <t>Tabs:</t>
        </is>
      </c>
    </row>
    <row r="8">
      <c r="A8" t="inlineStr">
        <is>
          <t xml:space="preserve">  Data — The contract: the prices and costs behind a barrel of profit oil, and the takes today and demanded.</t>
        </is>
      </c>
    </row>
    <row r="9">
      <c r="A9" t="inlineStr">
        <is>
          <t xml:space="preserve">  Data — The field: what is left, how long it lasts, and the discount rate for Kessana.</t>
        </is>
      </c>
    </row>
    <row r="10">
      <c r="A10" t="inlineStr">
        <is>
          <t xml:space="preserve">  Data — Leaving: what Halden gets for handing the block back, and what is already spent.</t>
        </is>
      </c>
    </row>
    <row r="11">
      <c r="A11" t="inlineStr">
        <is>
          <t xml:space="preserve">  Data — Takes to test: four takes to value the field at.</t>
        </is>
      </c>
    </row>
    <row r="12">
      <c r="A12" t="inlineStr">
        <is>
          <t xml:space="preserve">  Data — Contracts next door: what governments take in comparable contracts.</t>
        </is>
      </c>
    </row>
    <row r="13">
      <c r="A13" t="inlineStr">
        <is>
          <t xml:space="preserve">  Worked Example: a small field, solved.</t>
        </is>
      </c>
    </row>
    <row r="14">
      <c r="A14" t="inlineStr">
        <is>
          <t xml:space="preserve">  Your Analysis: fill in the yellow cells.</t>
        </is>
      </c>
    </row>
    <row r="15">
      <c r="A15" t="inlineStr"/>
    </row>
    <row r="16">
      <c r="A16" t="inlineStr">
        <is>
          <t>Blue = data. Black = formula. Yellow = you fill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0" customWidth="1" min="3" max="3"/>
  </cols>
  <sheetData>
    <row r="1">
      <c r="A1" s="1" t="inlineStr">
        <is>
          <t>The contract: a barrel of profit oil, and who gets how much of it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long_run_brent_usd_bbl</t>
        </is>
      </c>
      <c r="B4" s="3" t="n">
        <v>78.5</v>
      </c>
      <c r="C4" t="inlineStr">
        <is>
          <t>the long-run Brent price the valuation uses; this quarter's spot price is 72.5</t>
        </is>
      </c>
    </row>
    <row r="5">
      <c r="A5" t="inlineStr">
        <is>
          <t>kessana_discount_usd_bbl</t>
        </is>
      </c>
      <c r="B5" s="3" t="n">
        <v>2</v>
      </c>
      <c r="C5" t="inlineStr">
        <is>
          <t>Kessana crude sells a little below Brent</t>
        </is>
      </c>
    </row>
    <row r="6">
      <c r="A6" t="inlineStr">
        <is>
          <t>lifting_cost_usd_bbl</t>
        </is>
      </c>
      <c r="B6" s="3" t="n">
        <v>9.5</v>
      </c>
      <c r="C6" t="inlineStr">
        <is>
          <t>what it costs to get each barrel out</t>
        </is>
      </c>
    </row>
    <row r="7">
      <c r="A7" t="inlineStr">
        <is>
          <t>government_take_today</t>
        </is>
      </c>
      <c r="B7" s="3" t="n">
        <v>0.62</v>
      </c>
      <c r="C7" t="inlineStr">
        <is>
          <t>the government's share of profit oil under the contract as it stands</t>
        </is>
      </c>
    </row>
    <row r="8">
      <c r="A8" t="inlineStr">
        <is>
          <t>government_take_demanded</t>
        </is>
      </c>
      <c r="B8" s="3" t="n">
        <v>0.74</v>
      </c>
      <c r="C8" t="inlineStr">
        <is>
          <t>what the government has asked for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70" customWidth="1" min="3" max="3"/>
  </cols>
  <sheetData>
    <row r="1">
      <c r="A1" s="1" t="inlineStr">
        <is>
          <t>The field: what is left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reserves_left_million_bbl</t>
        </is>
      </c>
      <c r="B4" s="3" t="n">
        <v>340</v>
      </c>
      <c r="C4" t="inlineStr">
        <is>
          <t>Halden's own estimate of what is left in the field</t>
        </is>
      </c>
    </row>
    <row r="5">
      <c r="A5" t="inlineStr">
        <is>
          <t>years_of_production</t>
        </is>
      </c>
      <c r="B5" s="3" t="n">
        <v>10</v>
      </c>
      <c r="C5" t="inlineStr">
        <is>
          <t>the valuation runs the reserves off level over ten years</t>
        </is>
      </c>
    </row>
    <row r="6">
      <c r="A6" t="inlineStr">
        <is>
          <t>production_now_bbl_day</t>
        </is>
      </c>
      <c r="B6" s="3" t="n">
        <v>150000</v>
      </c>
      <c r="C6" t="inlineStr">
        <is>
          <t>what the field pumps today</t>
        </is>
      </c>
    </row>
    <row r="7">
      <c r="A7" t="inlineStr">
        <is>
          <t>discount_rate</t>
        </is>
      </c>
      <c r="B7" s="3" t="n">
        <v>0.14</v>
      </c>
      <c r="C7" t="inlineStr">
        <is>
          <t>the rate Halden uses for Kessana: its usual hurdle plus country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78" customWidth="1" min="3" max="3"/>
  </cols>
  <sheetData>
    <row r="1">
      <c r="A1" s="1" t="inlineStr">
        <is>
          <t>What leaving is worth, and what is already spent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exit_value_musd</t>
        </is>
      </c>
      <c r="B4" s="3" t="n">
        <v>180</v>
      </c>
      <c r="C4" t="inlineStr">
        <is>
          <t>what Halden would get for handing the block back</t>
        </is>
      </c>
    </row>
    <row r="5">
      <c r="A5" t="inlineStr">
        <is>
          <t>book_value_musd</t>
        </is>
      </c>
      <c r="B5" s="3" t="n">
        <v>2300</v>
      </c>
      <c r="C5" t="inlineStr">
        <is>
          <t>what the field is carried at on Halden's books; written off if Halden leaves</t>
        </is>
      </c>
    </row>
    <row r="6">
      <c r="A6" t="inlineStr">
        <is>
          <t>capital_already_spent_musd</t>
        </is>
      </c>
      <c r="B6" s="3" t="n">
        <v>2800</v>
      </c>
      <c r="C6" t="inlineStr">
        <is>
          <t>for reference only: already in the ground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46" customWidth="1" min="3" max="3"/>
  </cols>
  <sheetData>
    <row r="1">
      <c r="A1" s="1" t="inlineStr">
        <is>
          <t>Takes to test</t>
        </is>
      </c>
    </row>
    <row r="3">
      <c r="A3" s="2" t="inlineStr">
        <is>
          <t>case</t>
        </is>
      </c>
      <c r="B3" s="2" t="inlineStr">
        <is>
          <t>government_take</t>
        </is>
      </c>
      <c r="C3" s="2" t="inlineStr">
        <is>
          <t>note</t>
        </is>
      </c>
    </row>
    <row r="4">
      <c r="A4" t="inlineStr">
        <is>
          <t>today</t>
        </is>
      </c>
      <c r="B4" s="3" t="n">
        <v>0.62</v>
      </c>
      <c r="C4" t="inlineStr">
        <is>
          <t>the contract as it stands</t>
        </is>
      </c>
    </row>
    <row r="5">
      <c r="A5" t="inlineStr">
        <is>
          <t>middle</t>
        </is>
      </c>
      <c r="B5" s="3" t="n">
        <v>0.68</v>
      </c>
      <c r="C5" t="inlineStr">
        <is>
          <t>halfway between today and the demand</t>
        </is>
      </c>
    </row>
    <row r="6">
      <c r="A6" t="inlineStr">
        <is>
          <t>demanded</t>
        </is>
      </c>
      <c r="B6" s="3" t="n">
        <v>0.74</v>
      </c>
      <c r="C6" t="inlineStr">
        <is>
          <t>what the government has asked for</t>
        </is>
      </c>
    </row>
    <row r="7">
      <c r="A7" t="inlineStr">
        <is>
          <t>harsh</t>
        </is>
      </c>
      <c r="B7" s="3" t="n">
        <v>0.8</v>
      </c>
      <c r="C7" t="inlineStr">
        <is>
          <t>where a government can go if talks turn sour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1" t="inlineStr">
        <is>
          <t>What governments take in comparable contracts</t>
        </is>
      </c>
    </row>
    <row r="3">
      <c r="A3" s="2" t="inlineStr">
        <is>
          <t>contract</t>
        </is>
      </c>
      <c r="B3" s="2" t="inlineStr">
        <is>
          <t>government_take</t>
        </is>
      </c>
    </row>
    <row r="4">
      <c r="A4" t="inlineStr">
        <is>
          <t>Deepwater A</t>
        </is>
      </c>
      <c r="B4" s="3" t="n">
        <v>0.5</v>
      </c>
    </row>
    <row r="5">
      <c r="A5" t="inlineStr">
        <is>
          <t>Deepwater B</t>
        </is>
      </c>
      <c r="B5" s="3" t="n">
        <v>0.58</v>
      </c>
    </row>
    <row r="6">
      <c r="A6" t="inlineStr">
        <is>
          <t>Shelf C</t>
        </is>
      </c>
      <c r="B6" s="3" t="n">
        <v>0.66</v>
      </c>
    </row>
    <row r="7">
      <c r="A7" t="inlineStr">
        <is>
          <t>Frontier D</t>
        </is>
      </c>
      <c r="B7" s="3" t="n">
        <v>0.72</v>
      </c>
    </row>
    <row r="8">
      <c r="A8" t="inlineStr">
        <is>
          <t>Mature E</t>
        </is>
      </c>
      <c r="B8" s="3" t="n">
        <v>0.79</v>
      </c>
    </row>
    <row r="9">
      <c r="A9" t="inlineStr">
        <is>
          <t>Deepwater F</t>
        </is>
      </c>
      <c r="B9" s="3" t="n">
        <v>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A small field, for the worked example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profit_oil_usd_bbl</t>
        </is>
      </c>
      <c r="B4" s="3" t="n">
        <v>50</v>
      </c>
    </row>
    <row r="5">
      <c r="A5" t="inlineStr">
        <is>
          <t>take_before</t>
        </is>
      </c>
      <c r="B5" s="3" t="n">
        <v>0.6</v>
      </c>
    </row>
    <row r="6">
      <c r="A6" t="inlineStr">
        <is>
          <t>take_after</t>
        </is>
      </c>
      <c r="B6" s="3" t="n">
        <v>0.7</v>
      </c>
    </row>
    <row r="7">
      <c r="A7" t="inlineStr">
        <is>
          <t>annual_million_bbl</t>
        </is>
      </c>
      <c r="B7" s="3" t="n">
        <v>5</v>
      </c>
    </row>
    <row r="8">
      <c r="A8" t="inlineStr">
        <is>
          <t>years</t>
        </is>
      </c>
      <c r="B8" s="3" t="n">
        <v>8</v>
      </c>
    </row>
    <row r="9">
      <c r="A9" t="inlineStr">
        <is>
          <t>discount_rate</t>
        </is>
      </c>
      <c r="B9" s="3" t="n">
        <v>0.12</v>
      </c>
    </row>
    <row r="10">
      <c r="A10" t="inlineStr">
        <is>
          <t>exit_value_musd</t>
        </is>
      </c>
      <c r="B10" s="3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1" t="inlineStr">
        <is>
          <t>Worked Example — a small field, solved</t>
        </is>
      </c>
    </row>
    <row r="2">
      <c r="A2" t="inlineStr">
        <is>
          <t>Value of staying = profit oil per barrel × Halden's share (1 − take) × barrels a year × annuity factor. The annuity factor turns ten years of level cash into one number today: (1 − (1 + r)^−n) / r. Money already spent is not in the formula.</t>
        </is>
      </c>
    </row>
    <row r="4">
      <c r="A4" s="2" t="inlineStr">
        <is>
          <t>Annuity factor</t>
        </is>
      </c>
      <c r="B4">
        <f>(1-(1+'Data — Worked example field'!B9)^-'Data — Worked example field'!B8)/'Data — Worked example field'!B9</f>
        <v/>
      </c>
    </row>
    <row r="5">
      <c r="A5" s="2" t="inlineStr">
        <is>
          <t>Value of staying before the take rises ($M)</t>
        </is>
      </c>
      <c r="B5">
        <f>'Data — Worked example field'!B4*(1-'Data — Worked example field'!B5)*'Data — Worked example field'!B7*B4</f>
        <v/>
      </c>
    </row>
    <row r="6">
      <c r="A6" s="2" t="inlineStr">
        <is>
          <t>Value of staying after the take rises ($M)</t>
        </is>
      </c>
      <c r="B6">
        <f>'Data — Worked example field'!B4*(1-'Data — Worked example field'!B6)*'Data — Worked example field'!B7*B4</f>
        <v/>
      </c>
    </row>
    <row r="7">
      <c r="A7" s="2" t="inlineStr">
        <is>
          <t>Value of leaving ($M)</t>
        </is>
      </c>
      <c r="B7">
        <f>'Data — Worked example field'!B10</f>
        <v/>
      </c>
    </row>
    <row r="8">
      <c r="A8" s="2" t="inlineStr">
        <is>
          <t>The take at which staying and leaving are worth the same</t>
        </is>
      </c>
      <c r="B8">
        <f>1-'Data — Worked example field'!B10/('Data — Worked example field'!B4*'Data — Worked example field'!B7*B4)</f>
        <v/>
      </c>
    </row>
    <row r="10">
      <c r="A10" t="inlineStr">
        <is>
          <t>The take rises from 60% to 70%, and staying is still worth far more than the $20M exit. The last line shows how far a government could push on economics alone. The capital already in the ground never appears.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90" customWidth="1" min="1" max="1"/>
    <col width="40" customWidth="1" min="2" max="2"/>
  </cols>
  <sheetData>
    <row r="1">
      <c r="A1" s="1" t="inlineStr">
        <is>
          <t>Your Analysis — fill the YELLOW cells</t>
        </is>
      </c>
    </row>
    <row r="2">
      <c r="A2" t="inlineStr">
        <is>
          <t>Use Data — The contract, Data — The field and Data — Leaving. Profit oil = long-run Brent − discount − lifting cost. Barrels a year = reserves left ÷ years.</t>
        </is>
      </c>
    </row>
    <row r="4">
      <c r="A4" s="2" t="inlineStr">
        <is>
          <t>Part A: the field from here</t>
        </is>
      </c>
    </row>
    <row r="5">
      <c r="A5" t="inlineStr">
        <is>
          <t>Profit oil per barrel ($)</t>
        </is>
      </c>
      <c r="B5" s="4" t="n"/>
    </row>
    <row r="6">
      <c r="A6" t="inlineStr">
        <is>
          <t>Barrels a year (million)</t>
        </is>
      </c>
      <c r="B6" s="4" t="n"/>
    </row>
    <row r="7">
      <c r="A7" t="inlineStr">
        <is>
          <t>Annuity factor at the Kessana discount rate</t>
        </is>
      </c>
      <c r="B7" s="4" t="n"/>
    </row>
    <row r="8">
      <c r="A8" t="inlineStr">
        <is>
          <t>Halden's margin per barrel at today's take (62%)</t>
        </is>
      </c>
      <c r="B8" s="4" t="n"/>
    </row>
    <row r="9">
      <c r="A9" t="inlineStr">
        <is>
          <t>Value of staying at today's take ($M)</t>
        </is>
      </c>
      <c r="B9" s="4" t="n"/>
    </row>
    <row r="10">
      <c r="A10" t="inlineStr">
        <is>
          <t>Halden's margin per barrel at the middle (68%)</t>
        </is>
      </c>
      <c r="B10" s="4" t="n"/>
    </row>
    <row r="11">
      <c r="A11" t="inlineStr">
        <is>
          <t>Value of staying at the middle ($M)</t>
        </is>
      </c>
      <c r="B11" s="4" t="n"/>
    </row>
    <row r="12">
      <c r="A12" t="inlineStr">
        <is>
          <t>Halden's margin per barrel at the demanded take (74%)</t>
        </is>
      </c>
      <c r="B12" s="4" t="n"/>
    </row>
    <row r="13">
      <c r="A13" t="inlineStr">
        <is>
          <t>Value of staying at the demanded take ($M)</t>
        </is>
      </c>
      <c r="B13" s="4" t="n"/>
    </row>
    <row r="14">
      <c r="A14" t="inlineStr">
        <is>
          <t>Halden's margin per barrel at the harsh take (80%)</t>
        </is>
      </c>
      <c r="B14" s="4" t="n"/>
    </row>
    <row r="15">
      <c r="A15" t="inlineStr">
        <is>
          <t>Value of staying at the harsh take ($M)</t>
        </is>
      </c>
      <c r="B15" s="4" t="n"/>
    </row>
    <row r="16">
      <c r="A16" t="inlineStr">
        <is>
          <t>Value of staying at the demanded take minus the value of leaving ($M)</t>
        </is>
      </c>
      <c r="B16" s="4" t="n"/>
    </row>
    <row r="17">
      <c r="A17" t="inlineStr">
        <is>
          <t>The take at which staying and leaving are worth the same</t>
        </is>
      </c>
      <c r="B17" s="4" t="n"/>
    </row>
    <row r="18">
      <c r="A18" t="inlineStr">
        <is>
          <t>Lowest government take next door</t>
        </is>
      </c>
      <c r="B18" s="4" t="n"/>
    </row>
    <row r="19">
      <c r="A19" t="inlineStr">
        <is>
          <t>Highest government take next door</t>
        </is>
      </c>
      <c r="B19" s="4" t="n"/>
    </row>
    <row r="21">
      <c r="A21" s="2" t="inlineStr">
        <is>
          <t>Part B: beyond the spreadsheet</t>
        </is>
      </c>
    </row>
    <row r="22">
      <c r="A22" t="inlineStr">
        <is>
          <t>Does the $2.8 billion already spent change any number above? Where does it belong in the argument, if anywhere?</t>
        </is>
      </c>
      <c r="B22" s="4" t="n"/>
    </row>
    <row r="23">
      <c r="A23" t="inlineStr">
        <is>
          <t>Tetteh knows the value of staying beats leaving at every take above. What does he need from Halden that the spreadsheet can't give him?</t>
        </is>
      </c>
      <c r="B23" s="4" t="n"/>
    </row>
    <row r="24">
      <c r="A24" t="inlineStr">
        <is>
          <t>What can Halden put on the table that costs little and helps him announce a result? What would make a threat to leave believable, and is it?</t>
        </is>
      </c>
      <c r="B24" s="4" t="n"/>
    </row>
    <row r="25">
      <c r="A25" t="inlineStr">
        <is>
          <t>Your answer to the government, in one sentence, and the quarterly cost of it against the old contract.</t>
        </is>
      </c>
      <c r="B2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2026-10-10T15:04:59Z</dcterms:created>
  <dcterms:modified xmlns:dcterms="http://purl.org/dc/terms/" xmlns:xsi="http://www.w3.org/2001/XMLSchema-instance" xsi:type="dcterms:W3CDTF">2026-10-10T15:04:59Z</dcterms:modified>
</cp:coreProperties>
</file>