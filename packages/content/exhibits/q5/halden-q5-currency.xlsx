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_fx_shock" sheetId="2" state="visible" r:id="rId2"/>
    <sheet xmlns:r="http://schemas.openxmlformats.org/officeDocument/2006/relationships" name="D_entity_flows" sheetId="3" state="visible" r:id="rId3"/>
    <sheet xmlns:r="http://schemas.openxmlformats.org/officeDocument/2006/relationships" name="D_norway_unit_cost" sheetId="4" state="visible" r:id="rId4"/>
    <sheet xmlns:r="http://schemas.openxmlformats.org/officeDocument/2006/relationships" name="D_existing_hedges" sheetId="5" state="visible" r:id="rId5"/>
    <sheet xmlns:r="http://schemas.openxmlformats.org/officeDocument/2006/relationships" name="D_forwards_options" sheetId="6" state="visible" r:id="rId6"/>
    <sheet xmlns:r="http://schemas.openxmlformats.org/officeDocument/2006/relationships" name="D_worked_example_entity" sheetId="7" state="visible" r:id="rId7"/>
    <sheet xmlns:r="http://schemas.openxmlformats.org/officeDocument/2006/relationships" name="Worked Example" sheetId="8" state="visible" r:id="rId8"/>
    <sheet xmlns:r="http://schemas.openxmlformats.org/officeDocument/2006/relationships" name="Your Analysi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\$#,##0.00"/>
    <numFmt numFmtId="166" formatCode="0.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55555"/>
      <sz val="9"/>
    </font>
    <font>
      <name val="Arial"/>
      <charset val="1"/>
      <family val="0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0" fontId="9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166" fontId="9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0" fontId="9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166" fontId="9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2" min="1" max="1"/>
  </cols>
  <sheetData>
    <row r="1" ht="16.15" customHeight="1" s="13">
      <c r="A1" s="14" t="inlineStr">
        <is>
          <t>Halden Energy — Quarter 5: Currency — transaction, translation, economic exposure</t>
        </is>
      </c>
    </row>
    <row r="2"/>
    <row r="3" ht="15" customHeight="1" s="13">
      <c r="A3" s="15" t="inlineStr">
        <is>
          <t>The dollar strengthens: the euro falls 6.5%, the krone 7.7%, the Singapore dollar barely moves.</t>
        </is>
      </c>
    </row>
    <row r="4" ht="15" customHeight="1" s="13">
      <c r="A4" s="15" t="inlineStr">
        <is>
          <t>The shock is not uniformly bad. Krone weakness lowers Norwegian costs in dollars. European retail takes a translation hit that is easy to miss.</t>
        </is>
      </c>
    </row>
    <row r="5" ht="15" customHeight="1" s="13">
      <c r="A5" s="15" t="inlineStr">
        <is>
          <t>Rotterdam is a partial natural hedge: euro revenue offsets euro costs. Hedging its gross euro costs creates exposure instead of removing it.</t>
        </is>
      </c>
    </row>
    <row r="6"/>
    <row r="7" ht="15" customHeight="1" s="13">
      <c r="A7" s="15" t="inlineStr">
        <is>
          <t>Tabs: D_* = canonical data (read-only). Worked Example = solved on adjacent data. Your Analysis = fill the yellow cells.</t>
        </is>
      </c>
    </row>
    <row r="8" ht="15" customHeight="1" s="13">
      <c r="A8" s="15" t="inlineStr">
        <is>
          <t>Legend: blue = input, black = formula, yellow = you fill 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3"/>
  </cols>
  <sheetData>
    <row r="1" ht="15" customHeight="1" s="13">
      <c r="A1" s="16" t="inlineStr">
        <is>
          <t>pair</t>
        </is>
      </c>
      <c r="B1" s="16" t="inlineStr">
        <is>
          <t>pre</t>
        </is>
      </c>
      <c r="C1" s="16" t="inlineStr">
        <is>
          <t>post</t>
        </is>
      </c>
    </row>
    <row r="2" ht="15" customHeight="1" s="13">
      <c r="A2" s="17" t="inlineStr">
        <is>
          <t>EURUSD</t>
        </is>
      </c>
      <c r="B2" s="17" t="n">
        <v>1.085</v>
      </c>
      <c r="C2" s="17" t="n">
        <v>1.015</v>
      </c>
    </row>
    <row r="3" ht="15" customHeight="1" s="13">
      <c r="A3" s="17" t="inlineStr">
        <is>
          <t>USDNOK</t>
        </is>
      </c>
      <c r="B3" s="17" t="n">
        <v>10.2</v>
      </c>
      <c r="C3" s="17" t="n">
        <v>11.05</v>
      </c>
    </row>
    <row r="4" ht="15" customHeight="1" s="13">
      <c r="A4" s="17" t="inlineStr">
        <is>
          <t>USDSGD</t>
        </is>
      </c>
      <c r="B4" s="17" t="n">
        <v>1.34</v>
      </c>
      <c r="C4" s="17" t="n">
        <v>1.35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3"/>
    <col width="17" customWidth="1" style="12" min="4" max="4"/>
  </cols>
  <sheetData>
    <row r="1" ht="15" customHeight="1" s="13">
      <c r="A1" s="16" t="inlineStr">
        <is>
          <t>flow_id</t>
        </is>
      </c>
      <c r="B1" s="16" t="inlineStr">
        <is>
          <t>entity</t>
        </is>
      </c>
      <c r="C1" s="16" t="inlineStr">
        <is>
          <t>currency</t>
        </is>
      </c>
      <c r="D1" s="16" t="inlineStr">
        <is>
          <t>annual_musd_pre</t>
        </is>
      </c>
    </row>
    <row r="2" ht="15" customHeight="1" s="13">
      <c r="A2" s="17" t="inlineStr">
        <is>
          <t>norway_revenue</t>
        </is>
      </c>
      <c r="B2" s="17" t="inlineStr">
        <is>
          <t>Norwegian upstream</t>
        </is>
      </c>
      <c r="C2" s="17" t="inlineStr">
        <is>
          <t>USD</t>
        </is>
      </c>
      <c r="D2" s="17" t="n">
        <v>3200</v>
      </c>
    </row>
    <row r="3" ht="15" customHeight="1" s="13">
      <c r="A3" s="17" t="inlineStr">
        <is>
          <t>norway_costs</t>
        </is>
      </c>
      <c r="B3" s="17" t="inlineStr">
        <is>
          <t>Norwegian upstream</t>
        </is>
      </c>
      <c r="C3" s="17" t="inlineStr">
        <is>
          <t>NOK</t>
        </is>
      </c>
      <c r="D3" s="17" t="n">
        <v>1100</v>
      </c>
    </row>
    <row r="4" ht="15" customHeight="1" s="13">
      <c r="A4" s="17" t="inlineStr">
        <is>
          <t>euro_retail_receipts</t>
        </is>
      </c>
      <c r="B4" s="17" t="inlineStr">
        <is>
          <t>European retail</t>
        </is>
      </c>
      <c r="C4" s="17" t="inlineStr">
        <is>
          <t>EUR</t>
        </is>
      </c>
      <c r="D4" s="17" t="n">
        <v>1200</v>
      </c>
    </row>
    <row r="5" ht="15" customHeight="1" s="13">
      <c r="A5" s="17" t="inlineStr">
        <is>
          <t>rot_product_revenue</t>
        </is>
      </c>
      <c r="B5" s="17" t="inlineStr">
        <is>
          <t>Rotterdam</t>
        </is>
      </c>
      <c r="C5" s="17" t="inlineStr">
        <is>
          <t>EUR</t>
        </is>
      </c>
      <c r="D5" s="17" t="n">
        <v>2500</v>
      </c>
    </row>
    <row r="6" ht="15" customHeight="1" s="13">
      <c r="A6" s="17" t="inlineStr">
        <is>
          <t>rot_eur_costs</t>
        </is>
      </c>
      <c r="B6" s="17" t="inlineStr">
        <is>
          <t>Rotterdam</t>
        </is>
      </c>
      <c r="C6" s="17" t="inlineStr">
        <is>
          <t>EUR</t>
        </is>
      </c>
      <c r="D6" s="17" t="n">
        <v>2250</v>
      </c>
    </row>
    <row r="7" ht="15" customHeight="1" s="13">
      <c r="A7" s="17" t="inlineStr">
        <is>
          <t>rot_usd_crude</t>
        </is>
      </c>
      <c r="B7" s="17" t="inlineStr">
        <is>
          <t>Rotterdam</t>
        </is>
      </c>
      <c r="C7" s="17" t="inlineStr">
        <is>
          <t>USD</t>
        </is>
      </c>
      <c r="D7" s="17" t="n">
        <v>180</v>
      </c>
    </row>
    <row r="8" ht="15" customHeight="1" s="13">
      <c r="A8" s="17" t="inlineStr">
        <is>
          <t>sing_net_earnings</t>
        </is>
      </c>
      <c r="B8" s="17" t="inlineStr">
        <is>
          <t>Singapore JV (40%)</t>
        </is>
      </c>
      <c r="C8" s="17" t="inlineStr">
        <is>
          <t>SGD</t>
        </is>
      </c>
      <c r="D8" s="17" t="n">
        <v>300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2"/>
  </cols>
  <sheetData>
    <row r="1" ht="15" customHeight="1" s="13">
      <c r="A1" s="16" t="inlineStr">
        <is>
          <t>parameter</t>
        </is>
      </c>
      <c r="B1" s="16" t="inlineStr">
        <is>
          <t>value</t>
        </is>
      </c>
    </row>
    <row r="2" ht="15" customHeight="1" s="13">
      <c r="A2" s="17" t="inlineStr">
        <is>
          <t>lifting_usd_pre</t>
        </is>
      </c>
      <c r="B2" s="17" t="n">
        <v>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3"/>
    <col width="15" customWidth="1" style="12" min="4" max="4"/>
    <col width="17" customWidth="1" style="12" min="5" max="5"/>
  </cols>
  <sheetData>
    <row r="1" ht="15" customHeight="1" s="13">
      <c r="A1" s="16" t="inlineStr">
        <is>
          <t>hedge_id</t>
        </is>
      </c>
      <c r="B1" s="16" t="inlineStr">
        <is>
          <t>pair</t>
        </is>
      </c>
      <c r="C1" s="16" t="inlineStr">
        <is>
          <t>direction</t>
        </is>
      </c>
      <c r="D1" s="16" t="inlineStr">
        <is>
          <t>notional_musd</t>
        </is>
      </c>
      <c r="E1" s="16" t="inlineStr">
        <is>
          <t>maturity_months</t>
        </is>
      </c>
    </row>
    <row r="2" ht="15" customHeight="1" s="13">
      <c r="A2" s="17" t="inlineStr">
        <is>
          <t>eur_forward_sell</t>
        </is>
      </c>
      <c r="B2" s="17" t="inlineStr">
        <is>
          <t>EURUSD</t>
        </is>
      </c>
      <c r="C2" s="17" t="inlineStr">
        <is>
          <t>sell_EUR</t>
        </is>
      </c>
      <c r="D2" s="17" t="n">
        <v>300</v>
      </c>
      <c r="E2" s="17" t="n">
        <v>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2"/>
    <col width="20" customWidth="1" style="12" min="3" max="3"/>
  </cols>
  <sheetData>
    <row r="1" ht="15" customHeight="1" s="13">
      <c r="A1" s="16" t="inlineStr">
        <is>
          <t>pair</t>
        </is>
      </c>
      <c r="B1" s="16" t="inlineStr">
        <is>
          <t>forward_1y</t>
        </is>
      </c>
      <c r="C1" s="16" t="inlineStr">
        <is>
          <t>collar_premium_pct</t>
        </is>
      </c>
    </row>
    <row r="2" ht="15" customHeight="1" s="13">
      <c r="A2" s="17" t="inlineStr">
        <is>
          <t>EURUSD</t>
        </is>
      </c>
      <c r="B2" s="17" t="n">
        <v>1.031</v>
      </c>
      <c r="C2" s="17" t="n">
        <v>0.012</v>
      </c>
    </row>
    <row r="3" ht="15" customHeight="1" s="13">
      <c r="A3" s="17" t="inlineStr">
        <is>
          <t>USDNOK</t>
        </is>
      </c>
      <c r="B3" s="17" t="n">
        <v>11</v>
      </c>
      <c r="C3" s="17" t="n">
        <v>0.015</v>
      </c>
    </row>
    <row r="4" ht="15" customHeight="1" s="13">
      <c r="A4" s="17" t="inlineStr">
        <is>
          <t>USDSGD</t>
        </is>
      </c>
      <c r="B4" s="17" t="n">
        <v>1.345</v>
      </c>
      <c r="C4" s="17" t="n">
        <v>0.008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2"/>
  </cols>
  <sheetData>
    <row r="1" ht="15" customHeight="1" s="13">
      <c r="A1" s="16" t="inlineStr">
        <is>
          <t>parameter</t>
        </is>
      </c>
      <c r="B1" s="16" t="inlineStr">
        <is>
          <t>value</t>
        </is>
      </c>
    </row>
    <row r="2" ht="15" customHeight="1" s="13">
      <c r="A2" s="17" t="inlineStr">
        <is>
          <t>eur_revenue</t>
        </is>
      </c>
      <c r="B2" s="17" t="n">
        <v>1000</v>
      </c>
    </row>
    <row r="3" ht="15" customHeight="1" s="13">
      <c r="A3" s="17" t="inlineStr">
        <is>
          <t>eur_costs</t>
        </is>
      </c>
      <c r="B3" s="17" t="n">
        <v>800</v>
      </c>
    </row>
    <row r="4" ht="15" customHeight="1" s="13">
      <c r="A4" s="17" t="inlineStr">
        <is>
          <t>fx_pre</t>
        </is>
      </c>
      <c r="B4" s="17" t="n">
        <v>1.1</v>
      </c>
    </row>
    <row r="5" ht="15" customHeight="1" s="13">
      <c r="A5" s="17" t="inlineStr">
        <is>
          <t>fx_post</t>
        </is>
      </c>
      <c r="B5" s="17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2" customWidth="1" style="12" min="1" max="1"/>
    <col width="20" customWidth="1" style="12" min="2" max="2"/>
  </cols>
  <sheetData>
    <row r="1" ht="16.15" customHeight="1" s="13">
      <c r="A1" s="14" t="inlineStr">
        <is>
          <t>Worked Example — solved on adjacent data. Study the method, then do Your Analysis.</t>
        </is>
      </c>
    </row>
    <row r="2" ht="15" customHeight="1" s="13">
      <c r="A2" s="18" t="inlineStr">
        <is>
          <t>Entity A: EUR revenue 1,000, EUR costs 800. Net exposure is 200, not 800. Hedging the gross costs would create a loss four times larger than the real exposure.</t>
        </is>
      </c>
    </row>
    <row r="3"/>
    <row r="4" ht="15" customHeight="1" s="13">
      <c r="A4" s="15" t="inlineStr">
        <is>
          <t>FX change</t>
        </is>
      </c>
      <c r="B4" s="19">
        <f>(D_worked_example_entity!B5/D_worked_example_entity!B4-1)</f>
        <v/>
      </c>
    </row>
    <row r="5" ht="15" customHeight="1" s="13">
      <c r="A5" s="15" t="inlineStr">
        <is>
          <t>Net EUR exposure (revenue − costs)</t>
        </is>
      </c>
      <c r="B5" s="20">
        <f>D_worked_example_entity!B2-D_worked_example_entity!B3</f>
        <v/>
      </c>
    </row>
    <row r="6" ht="15" customHeight="1" s="13">
      <c r="A6" s="15" t="inlineStr">
        <is>
          <t>True net impact</t>
        </is>
      </c>
      <c r="B6" s="20">
        <f>(D_worked_example_entity!B2-D_worked_example_entity!B3)*(D_worked_example_entity!B5/D_worked_example_entity!B4-1)</f>
        <v/>
      </c>
    </row>
    <row r="7" ht="15" customHeight="1" s="13">
      <c r="A7" s="15" t="inlineStr">
        <is>
          <t>Loss from wrongly hedging gross EUR costs</t>
        </is>
      </c>
      <c r="B7" s="20">
        <f>D_worked_example_entity!B3*(D_worked_example_entity!B5/D_worked_example_entity!B4-1)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4" customWidth="1" style="12" min="1" max="1"/>
    <col width="22" customWidth="1" style="12" min="2" max="2"/>
  </cols>
  <sheetData>
    <row r="1" ht="16.15" customHeight="1" s="13">
      <c r="A1" s="14" t="inlineStr">
        <is>
          <t>Your Analysis — fill the YELLOW cells</t>
        </is>
      </c>
    </row>
    <row r="2" ht="15" customHeight="1" s="13">
      <c r="A2" s="18" t="inlineStr">
        <is>
          <t>USD value change of a NOK or SGD flow = pre/post − 1 (quotes are per USD). EUR change = post/pre − 1 (quote is USD per EUR).</t>
        </is>
      </c>
    </row>
    <row r="3"/>
    <row r="4" ht="15" customHeight="1" s="13">
      <c r="A4" s="15" t="inlineStr">
        <is>
          <t>EUR/USD change (fraction)</t>
        </is>
      </c>
      <c r="B4" s="21" t="n"/>
    </row>
    <row r="5" ht="15" customHeight="1" s="13">
      <c r="A5" s="15" t="inlineStr">
        <is>
          <t>USD value change of a NOK flow (fraction)</t>
        </is>
      </c>
      <c r="B5" s="21" t="n"/>
    </row>
    <row r="6" ht="15" customHeight="1" s="13">
      <c r="A6" s="15" t="inlineStr">
        <is>
          <t>USD value change of an SGD flow (fraction)</t>
        </is>
      </c>
      <c r="B6" s="21" t="n"/>
    </row>
    <row r="7" ht="15" customHeight="1" s="13">
      <c r="A7" s="15" t="inlineStr">
        <is>
          <t>Norwegian cost benefit from krone weakness ($M)</t>
        </is>
      </c>
      <c r="B7" s="22" t="n"/>
    </row>
    <row r="8" ht="15" customHeight="1" s="13">
      <c r="A8" s="15" t="inlineStr">
        <is>
          <t>Norwegian lifting cost after the shock ($/bbl)</t>
        </is>
      </c>
      <c r="B8" s="23" t="n"/>
    </row>
    <row r="9" ht="15" customHeight="1" s="13">
      <c r="A9" s="15" t="inlineStr">
        <is>
          <t>European retail translation effect ($M)</t>
        </is>
      </c>
      <c r="B9" s="22" t="n"/>
    </row>
    <row r="10" ht="15" customHeight="1" s="13">
      <c r="A10" s="15" t="inlineStr">
        <is>
          <t>Gain on the existing EUR forward sale ($M)</t>
        </is>
      </c>
      <c r="B10" s="22" t="n"/>
    </row>
    <row r="11" ht="15" customHeight="1" s="13">
      <c r="A11" s="15" t="inlineStr">
        <is>
          <t>Rotterdam net euro exposure ($M)</t>
        </is>
      </c>
      <c r="B11" s="22" t="n"/>
    </row>
    <row r="12" ht="15" customHeight="1" s="13">
      <c r="A12" s="15" t="inlineStr">
        <is>
          <t>Rotterdam natural hedge ratio (EUR costs / EUR revenue)</t>
        </is>
      </c>
      <c r="B12" s="24" t="n"/>
    </row>
    <row r="13" ht="15" customHeight="1" s="13">
      <c r="A13" s="15" t="inlineStr">
        <is>
          <t>Rotterdam true net impact ($M)</t>
        </is>
      </c>
      <c r="B13" s="22" t="n"/>
    </row>
    <row r="14" ht="15" customHeight="1" s="13">
      <c r="A14" s="15" t="inlineStr">
        <is>
          <t>Loss if you hedged Rotterdam gross euro costs by buying EUR forward ($M)</t>
        </is>
      </c>
      <c r="B14" s="22" t="n"/>
    </row>
    <row r="15" ht="15" customHeight="1" s="13">
      <c r="A15" s="15" t="inlineStr">
        <is>
          <t>Singapore impact ($M)</t>
        </is>
      </c>
      <c r="B15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2026-09-25T09:27:40Z</dcterms:created>
  <dcterms:modified xmlns:dcterms="http://purl.org/dc/terms/" xmlns:xsi="http://www.w3.org/2001/XMLSchema-instance" xsi:type="dcterms:W3CDTF">2026-10-09T18:07:52Z</dcterms:modified>
  <cp:revision>0</cp:revision>
</cp:coreProperties>
</file>