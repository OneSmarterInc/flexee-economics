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 — Markets" sheetId="2" state="visible" r:id="rId2"/>
    <sheet xmlns:r="http://schemas.openxmlformats.org/officeDocument/2006/relationships" name="Data — Pelican" sheetId="3" state="visible" r:id="rId3"/>
    <sheet xmlns:r="http://schemas.openxmlformats.org/officeDocument/2006/relationships" name="Data — Refinery game" sheetId="4" state="visible" r:id="rId4"/>
    <sheet xmlns:r="http://schemas.openxmlformats.org/officeDocument/2006/relationships" name="Data — Shop margin" sheetId="5" state="visible" r:id="rId5"/>
    <sheet xmlns:r="http://schemas.openxmlformats.org/officeDocument/2006/relationships" name="Worked Example" sheetId="6" state="visible" r:id="rId6"/>
    <sheet xmlns:r="http://schemas.openxmlformats.org/officeDocument/2006/relationships" name="Your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1F4E79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Halden Energy — Quarter 7: Pelican cuts prices and announces a refinery</t>
        </is>
      </c>
    </row>
    <row r="2">
      <c r="A2" t="inlineStr"/>
    </row>
    <row r="3">
      <c r="A3" t="inlineStr">
        <is>
          <t>Pelican Energy cut what drivers pay by 6 cents a gallon near Cordell stations, in every kind of market, and announced a new refining unit on the Gulf Coast.</t>
        </is>
      </c>
    </row>
    <row r="4">
      <c r="A4" t="inlineStr">
        <is>
          <t>Two different problems. At the stations, it is local price competition: match or hold, market by market. At the refinery, it is a game of commitment, where the announcement itself may be the move.</t>
        </is>
      </c>
    </row>
    <row r="5">
      <c r="A5" t="inlineStr">
        <is>
          <t>What every chain in your class does about the cut this quarter sets the shop margin you all earn two quarters from now (Data — Shop margin).</t>
        </is>
      </c>
    </row>
    <row r="6">
      <c r="A6" t="inlineStr"/>
    </row>
    <row r="7">
      <c r="A7" s="2" t="inlineStr">
        <is>
          <t>Tabs:</t>
        </is>
      </c>
    </row>
    <row r="8">
      <c r="A8" t="inlineStr">
        <is>
          <t xml:space="preserve">  Data — Markets: the four kinds of Cordell market, how drivers there react to a price gap, and how much fuel each sells.</t>
        </is>
      </c>
    </row>
    <row r="9">
      <c r="A9" t="inlineStr">
        <is>
          <t xml:space="preserve">  Data — Pelican: the cut, the pump price, what a gallon earns Cordell at the pump and in the shop, and the chance Pelican really builds.</t>
        </is>
      </c>
    </row>
    <row r="10">
      <c r="A10" t="inlineStr">
        <is>
          <t xml:space="preserve">  Data — Refinery game: Halden's payoff for each answer, depending on what Pelican does.</t>
        </is>
      </c>
    </row>
    <row r="11">
      <c r="A11" t="inlineStr">
        <is>
          <t xml:space="preserve">  Data — Shop margin: how the industry's combined aggression this quarter moves the shop margin two quarters out.</t>
        </is>
      </c>
    </row>
    <row r="12">
      <c r="A12" t="inlineStr">
        <is>
          <t xml:space="preserve">  Worked Example: a corner station that loses drivers on pennies, against a station with no rival for twenty miles. Fully solved.</t>
        </is>
      </c>
    </row>
    <row r="13">
      <c r="A13" t="inlineStr">
        <is>
          <t xml:space="preserve">  Your Analysis: fill in the yellow cells.</t>
        </is>
      </c>
    </row>
    <row r="14">
      <c r="A14" t="inlineStr"/>
    </row>
    <row r="15">
      <c r="A15" t="inlineStr">
        <is>
          <t>Blue = data. Black = formula. Yellow = you fill in.</t>
        </is>
      </c>
    </row>
    <row r="16">
      <c r="A16" t="inlineStr"/>
    </row>
    <row r="17">
      <c r="A17" t="inlineStr">
        <is>
          <t>A hint on reading the numbers: elasticity is the percent change in volume for each 1% change in price. The cut is 6 cents on a $3.20 gallon, so the price gap is about 1.9%.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</cols>
  <sheetData>
    <row r="1">
      <c r="A1" s="1" t="inlineStr">
        <is>
          <t>The four kinds of Cordell market</t>
        </is>
      </c>
    </row>
    <row r="3">
      <c r="A3" s="2" t="inlineStr">
        <is>
          <t>market</t>
        </is>
      </c>
      <c r="B3" s="2" t="inlineStr">
        <is>
          <t>label</t>
        </is>
      </c>
      <c r="C3" s="2" t="inlineStr">
        <is>
          <t>elasticity</t>
        </is>
      </c>
      <c r="D3" s="2" t="inlineStr">
        <is>
          <t>pass_through</t>
        </is>
      </c>
      <c r="E3" s="2" t="inlineStr">
        <is>
          <t>share_of_cordell_fuel</t>
        </is>
      </c>
      <c r="F3" s="2" t="inlineStr">
        <is>
          <t>gallons_per_quarter_m</t>
        </is>
      </c>
    </row>
    <row r="4">
      <c r="A4" t="inlineStr">
        <is>
          <t>urban</t>
        </is>
      </c>
      <c r="B4" t="inlineStr">
        <is>
          <t>Cities</t>
        </is>
      </c>
      <c r="C4" s="3" t="n">
        <v>-0.11</v>
      </c>
      <c r="D4" s="3" t="n">
        <v>0.82</v>
      </c>
      <c r="E4" s="3" t="n">
        <v>0.3</v>
      </c>
      <c r="F4" s="3" t="n">
        <v>354.75</v>
      </c>
    </row>
    <row r="5">
      <c r="A5" t="inlineStr">
        <is>
          <t>suburban</t>
        </is>
      </c>
      <c r="B5" t="inlineStr">
        <is>
          <t>Suburbs</t>
        </is>
      </c>
      <c r="C5" s="3" t="n">
        <v>-0.06</v>
      </c>
      <c r="D5" s="3" t="n">
        <v>0.62</v>
      </c>
      <c r="E5" s="3" t="n">
        <v>0.35</v>
      </c>
      <c r="F5" s="3" t="n">
        <v>413.875</v>
      </c>
    </row>
    <row r="6">
      <c r="A6" t="inlineStr">
        <is>
          <t>rural</t>
        </is>
      </c>
      <c r="B6" t="inlineStr">
        <is>
          <t>Small towns</t>
        </is>
      </c>
      <c r="C6" s="3" t="n">
        <v>-0.02</v>
      </c>
      <c r="D6" s="3" t="n">
        <v>0.42</v>
      </c>
      <c r="E6" s="3" t="n">
        <v>0.2</v>
      </c>
      <c r="F6" s="3" t="n">
        <v>236.5</v>
      </c>
    </row>
    <row r="7">
      <c r="A7" t="inlineStr">
        <is>
          <t>interstate</t>
        </is>
      </c>
      <c r="B7" t="inlineStr">
        <is>
          <t>Highways</t>
        </is>
      </c>
      <c r="C7" s="3" t="n">
        <v>-0.05</v>
      </c>
      <c r="D7" s="3" t="n">
        <v>0.55</v>
      </c>
      <c r="E7" s="3" t="n">
        <v>0.15</v>
      </c>
      <c r="F7" s="3" t="n">
        <v>177.375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60" customWidth="1" min="3" max="3"/>
  </cols>
  <sheetData>
    <row r="1">
      <c r="A1" s="1" t="inlineStr">
        <is>
          <t>Pelican's cut and what a gallon is worth to Cordell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note</t>
        </is>
      </c>
    </row>
    <row r="4">
      <c r="A4" t="inlineStr">
        <is>
          <t>street_cut_usd_gal</t>
        </is>
      </c>
      <c r="B4" s="3" t="n">
        <v>0.06</v>
      </c>
      <c r="C4" t="inlineStr">
        <is>
          <t>what Pelican took off the pump price near Cordell stations</t>
        </is>
      </c>
    </row>
    <row r="5">
      <c r="A5" t="inlineStr">
        <is>
          <t>pump_price_usd_gal</t>
        </is>
      </c>
      <c r="B5" s="3" t="n">
        <v>3.2</v>
      </c>
      <c r="C5" t="inlineStr">
        <is>
          <t>typical pump price</t>
        </is>
      </c>
    </row>
    <row r="6">
      <c r="A6" t="inlineStr">
        <is>
          <t>cordell_fuel_margin_usd_gal</t>
        </is>
      </c>
      <c r="B6" s="3" t="n">
        <v>0.11</v>
      </c>
      <c r="C6" t="inlineStr">
        <is>
          <t>what Cordell makes on a gallon of fuel</t>
        </is>
      </c>
    </row>
    <row r="7">
      <c r="A7" t="inlineStr">
        <is>
          <t>shop_margin_usd_gal</t>
        </is>
      </c>
      <c r="B7" s="3" t="n">
        <v>0.42</v>
      </c>
      <c r="C7" t="inlineStr">
        <is>
          <t>dealer shop margin per gallon of fuel sold</t>
        </is>
      </c>
    </row>
    <row r="8">
      <c r="A8" t="inlineStr">
        <is>
          <t>halden_share_of_shop_margin</t>
        </is>
      </c>
      <c r="B8" s="3" t="n">
        <v>0.36</v>
      </c>
      <c r="C8" t="inlineStr">
        <is>
          <t>Halden's share of the dealer's shop margin</t>
        </is>
      </c>
    </row>
    <row r="9">
      <c r="A9" t="inlineStr">
        <is>
          <t>chance_pelican_builds</t>
        </is>
      </c>
      <c r="B9" s="3" t="n">
        <v>0.7</v>
      </c>
      <c r="C9" t="inlineStr">
        <is>
          <t>Ana's team's read of Pelican's balance 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9" customWidth="1" min="3" max="3"/>
  </cols>
  <sheetData>
    <row r="1">
      <c r="A1" s="1" t="inlineStr">
        <is>
          <t>Halden's payoff ($M a year) for each answer to Pelican's refinery</t>
        </is>
      </c>
    </row>
    <row r="3">
      <c r="A3" s="2" t="inlineStr">
        <is>
          <t>halden</t>
        </is>
      </c>
      <c r="B3" s="2" t="inlineStr">
        <is>
          <t>pelican</t>
        </is>
      </c>
      <c r="C3" s="2" t="inlineStr">
        <is>
          <t>halden_payoff_musd_per_year</t>
        </is>
      </c>
    </row>
    <row r="4">
      <c r="A4" t="inlineStr">
        <is>
          <t>hold</t>
        </is>
      </c>
      <c r="B4" t="inlineStr">
        <is>
          <t>builds</t>
        </is>
      </c>
      <c r="C4" s="3" t="n">
        <v>-40</v>
      </c>
    </row>
    <row r="5">
      <c r="A5" t="inlineStr">
        <is>
          <t>hold</t>
        </is>
      </c>
      <c r="B5" t="inlineStr">
        <is>
          <t>bluffs</t>
        </is>
      </c>
      <c r="C5" s="3" t="n">
        <v>0</v>
      </c>
    </row>
    <row r="6">
      <c r="A6" t="inlineStr">
        <is>
          <t>match</t>
        </is>
      </c>
      <c r="B6" t="inlineStr">
        <is>
          <t>builds</t>
        </is>
      </c>
      <c r="C6" s="3" t="n">
        <v>-140</v>
      </c>
    </row>
    <row r="7">
      <c r="A7" t="inlineStr">
        <is>
          <t>match</t>
        </is>
      </c>
      <c r="B7" t="inlineStr">
        <is>
          <t>bluffs</t>
        </is>
      </c>
      <c r="C7" s="3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59" customWidth="1" min="3" max="3"/>
  </cols>
  <sheetData>
    <row r="1">
      <c r="A1" s="1" t="inlineStr">
        <is>
          <t>How the industry's aggression this quarter moves the shop margin two quarters out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note</t>
        </is>
      </c>
    </row>
    <row r="4">
      <c r="A4" t="inlineStr">
        <is>
          <t>base_shop_margin_usd_gal</t>
        </is>
      </c>
      <c r="B4" s="3" t="n">
        <v>0.42</v>
      </c>
      <c r="C4" t="inlineStr">
        <is>
          <t>shop margin when the industry neither wars nor holds back</t>
        </is>
      </c>
    </row>
    <row r="5">
      <c r="A5" t="inlineStr">
        <is>
          <t>slope_usd_gal</t>
        </is>
      </c>
      <c r="B5" s="3" t="n">
        <v>0.1</v>
      </c>
      <c r="C5" t="inlineStr">
        <is>
          <t>how far the margin moves for each 1.0 of aggression</t>
        </is>
      </c>
    </row>
    <row r="6">
      <c r="A6" t="inlineStr">
        <is>
          <t>pivot</t>
        </is>
      </c>
      <c r="B6" s="3" t="n">
        <v>0.5</v>
      </c>
      <c r="C6" t="inlineStr">
        <is>
          <t>industry aggression at which the margin is unchanged</t>
        </is>
      </c>
    </row>
    <row r="7">
      <c r="A7" t="inlineStr">
        <is>
          <t>bound</t>
        </is>
      </c>
      <c r="B7" s="3" t="n">
        <v>0.15</v>
      </c>
      <c r="C7" t="inlineStr">
        <is>
          <t>the margin moves at most this share either way</t>
        </is>
      </c>
    </row>
    <row r="10">
      <c r="A10" t="inlineStr">
        <is>
          <t>Shop margin two quarters out = base − slope × (industry aggression − pivot), kept within the bound.</t>
        </is>
      </c>
    </row>
    <row r="11">
      <c r="A11" t="inlineStr">
        <is>
          <t>Aggression is the share of markets where chains matched the cut: 0 if everyone held, 1 if everyone matched everywhere.</t>
        </is>
      </c>
    </row>
    <row r="13">
      <c r="A13" s="2" t="inlineStr">
        <is>
          <t>Three examples</t>
        </is>
      </c>
    </row>
    <row r="14">
      <c r="A14" s="2" t="inlineStr">
        <is>
          <t>example</t>
        </is>
      </c>
      <c r="B14" s="2" t="inlineStr">
        <is>
          <t>aggression</t>
        </is>
      </c>
      <c r="C14" s="2" t="inlineStr">
        <is>
          <t>note</t>
        </is>
      </c>
    </row>
    <row r="15">
      <c r="A15" t="inlineStr">
        <is>
          <t>price_war</t>
        </is>
      </c>
      <c r="B15" t="n">
        <v>0.9</v>
      </c>
      <c r="C15" t="inlineStr">
        <is>
          <t>nearly every chain matched nearly everywhere</t>
        </is>
      </c>
    </row>
    <row r="16">
      <c r="A16" t="inlineStr">
        <is>
          <t>base</t>
        </is>
      </c>
      <c r="B16" t="n">
        <v>0.5</v>
      </c>
      <c r="C16" t="inlineStr">
        <is>
          <t>about half matched</t>
        </is>
      </c>
    </row>
    <row r="17">
      <c r="A17" t="inlineStr">
        <is>
          <t>disciplined</t>
        </is>
      </c>
      <c r="B17" t="n">
        <v>0.2</v>
      </c>
      <c r="C17" t="inlineStr">
        <is>
          <t>most chains held their prices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70" customWidth="1" min="3" max="3"/>
  </cols>
  <sheetData>
    <row r="1">
      <c r="A1" s="1" t="inlineStr">
        <is>
          <t>Worked Example — two stations, one price cut</t>
        </is>
      </c>
    </row>
    <row r="2">
      <c r="A2" t="inlineStr">
        <is>
          <t>Study the method, then do Your Analysis. A rival cuts 10 cents. The corner station loses drivers on pennies; the lonely station barely notices.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note</t>
        </is>
      </c>
    </row>
    <row r="4">
      <c r="A4" t="inlineStr">
        <is>
          <t>station_elasticity_switching</t>
        </is>
      </c>
      <c r="B4" s="3" t="n">
        <v>-20</v>
      </c>
      <c r="C4" t="inlineStr">
        <is>
          <t>one station on a corner with three rivals: drivers switch on pennies</t>
        </is>
      </c>
    </row>
    <row r="5">
      <c r="A5" t="inlineStr">
        <is>
          <t>station_elasticity_loyal</t>
        </is>
      </c>
      <c r="B5" s="3" t="n">
        <v>-0.03</v>
      </c>
      <c r="C5" t="inlineStr">
        <is>
          <t>the only station for twenty miles</t>
        </is>
      </c>
    </row>
    <row r="6">
      <c r="A6" t="inlineStr">
        <is>
          <t>cut_usd_gal</t>
        </is>
      </c>
      <c r="B6" s="3" t="n">
        <v>0.1</v>
      </c>
      <c r="C6" t="inlineStr"/>
    </row>
    <row r="7">
      <c r="A7" t="inlineStr">
        <is>
          <t>pump_usd_gal</t>
        </is>
      </c>
      <c r="B7" s="3" t="n">
        <v>3.2</v>
      </c>
      <c r="C7" t="inlineStr"/>
    </row>
    <row r="8">
      <c r="A8" t="inlineStr">
        <is>
          <t>margin_usd_gal</t>
        </is>
      </c>
      <c r="B8" s="3" t="n">
        <v>0.2</v>
      </c>
      <c r="C8" t="inlineStr">
        <is>
          <t>fuel and shop profit per gallon</t>
        </is>
      </c>
    </row>
    <row r="9">
      <c r="A9" t="inlineStr">
        <is>
          <t>volume_m_gal</t>
        </is>
      </c>
      <c r="B9" s="3" t="n">
        <v>1000</v>
      </c>
      <c r="C9" t="inlineStr">
        <is>
          <t>gallons a year</t>
        </is>
      </c>
    </row>
    <row r="12">
      <c r="A12" s="2" t="inlineStr">
        <is>
          <t>Volume at risk if the corner station holds (%)</t>
        </is>
      </c>
      <c r="B12">
        <f>B4*(B6/B7)*100</f>
        <v/>
      </c>
    </row>
    <row r="13">
      <c r="A13" s="2" t="inlineStr">
        <is>
          <t>Volume at risk if the lonely station holds (%)</t>
        </is>
      </c>
      <c r="B13">
        <f>B5*(B6/B7)*100</f>
        <v/>
      </c>
    </row>
    <row r="14">
      <c r="A14" s="2" t="inlineStr">
        <is>
          <t>Cost of holding, corner station ($M a year)</t>
        </is>
      </c>
      <c r="B14">
        <f>B9*B8*ABS(B12)/100</f>
        <v/>
      </c>
    </row>
    <row r="15">
      <c r="A15" s="2" t="inlineStr">
        <is>
          <t>Cost of holding, lonely station ($M a year)</t>
        </is>
      </c>
      <c r="B15">
        <f>B9*B8*ABS(B13)/100</f>
        <v/>
      </c>
    </row>
    <row r="16">
      <c r="A16" s="2" t="inlineStr">
        <is>
          <t>Cost of matching, either station ($M a year)</t>
        </is>
      </c>
      <c r="B16">
        <f>B6*B9</f>
        <v/>
      </c>
    </row>
    <row r="18">
      <c r="A18" t="inlineStr">
        <is>
          <t>The corner station should match (holding costs $125M against $100M to match). The lonely station should hold (holding costs under $1M). Same cut, opposite answers: what decides it is how easily drivers switch.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Your Analysis — fill the YELLOW cells</t>
        </is>
      </c>
    </row>
    <row r="2">
      <c r="A2" t="inlineStr">
        <is>
          <t>Volume at risk (%) = elasticity × (cut ÷ pump price) × 100. What a lost gallon costs = fuel margin + shop margin × Halden's share. Cost of matching = cut × gallons.</t>
        </is>
      </c>
    </row>
    <row r="3">
      <c r="A3" t="inlineStr">
        <is>
          <t>Markets are on Data — Markets rows 4 to 7 (elasticity in C, gallons a quarter in F). The cut and margins are on Data — Pelican column B.</t>
        </is>
      </c>
    </row>
    <row r="5">
      <c r="A5" s="2" t="inlineStr">
        <is>
          <t>Market</t>
        </is>
      </c>
      <c r="B5" s="2" t="inlineStr">
        <is>
          <t>Volume at risk if you hold (%)</t>
        </is>
      </c>
      <c r="C5" s="2" t="inlineStr">
        <is>
          <t>Cost of holding ($M a quarter)</t>
        </is>
      </c>
      <c r="D5" s="2" t="inlineStr">
        <is>
          <t>Cost of matching ($M a quarter)</t>
        </is>
      </c>
      <c r="E5" s="2" t="inlineStr">
        <is>
          <t>Your answer (hold / match)</t>
        </is>
      </c>
    </row>
    <row r="6">
      <c r="A6" t="inlineStr">
        <is>
          <t>Cities</t>
        </is>
      </c>
      <c r="B6" s="4" t="n"/>
      <c r="C6" s="4" t="n"/>
      <c r="D6" s="4" t="n"/>
      <c r="E6" s="4" t="n"/>
    </row>
    <row r="7">
      <c r="A7" t="inlineStr">
        <is>
          <t>Suburbs</t>
        </is>
      </c>
      <c r="B7" s="4" t="n"/>
      <c r="C7" s="4" t="n"/>
      <c r="D7" s="4" t="n"/>
      <c r="E7" s="4" t="n"/>
    </row>
    <row r="8">
      <c r="A8" t="inlineStr">
        <is>
          <t>Small towns</t>
        </is>
      </c>
      <c r="B8" s="4" t="n"/>
      <c r="C8" s="4" t="n"/>
      <c r="D8" s="4" t="n"/>
      <c r="E8" s="4" t="n"/>
    </row>
    <row r="9">
      <c r="A9" t="inlineStr">
        <is>
          <t>Highways</t>
        </is>
      </c>
      <c r="B9" s="4" t="n"/>
      <c r="C9" s="4" t="n"/>
      <c r="D9" s="4" t="n"/>
      <c r="E9" s="4" t="n"/>
    </row>
    <row r="11">
      <c r="A11" s="2" t="inlineStr">
        <is>
          <t>Pelican's refinery</t>
        </is>
      </c>
    </row>
    <row r="12">
      <c r="A12" t="inlineStr">
        <is>
          <t>Expected payoff if Halden holds ($M a year)</t>
        </is>
      </c>
      <c r="B12" s="4" t="n"/>
    </row>
    <row r="13">
      <c r="A13" t="inlineStr">
        <is>
          <t>Expected payoff if Halden builds too ($M a year)</t>
        </is>
      </c>
      <c r="B13" s="4" t="n"/>
    </row>
    <row r="14">
      <c r="A14" t="inlineStr">
        <is>
          <t>The chance of Pelican building at which the two answers are worth the same</t>
        </is>
      </c>
      <c r="B14" s="4" t="n"/>
    </row>
    <row r="15">
      <c r="A15" t="inlineStr">
        <is>
          <t>Your answer (hold / build)</t>
        </is>
      </c>
      <c r="B15" s="4" t="n"/>
    </row>
    <row r="17">
      <c r="A17" s="2" t="inlineStr">
        <is>
          <t>The shop margin two quarters from now</t>
        </is>
      </c>
    </row>
    <row r="18">
      <c r="A18" t="inlineStr">
        <is>
          <t>If the industry fights a price war (aggression 0.9), $ a gallon</t>
        </is>
      </c>
      <c r="B18" s="4" t="n"/>
    </row>
    <row r="19">
      <c r="A19" t="inlineStr">
        <is>
          <t>If about half the chains match (0.5)</t>
        </is>
      </c>
      <c r="B19" s="4" t="n"/>
    </row>
    <row r="20">
      <c r="A20" t="inlineStr">
        <is>
          <t>If most chains hold (0.2)</t>
        </is>
      </c>
      <c r="B20" s="4" t="n"/>
    </row>
    <row r="22">
      <c r="A22" t="inlineStr">
        <is>
          <t>What this is for: the answer at the stations and the answer at the refinery come from different kinds of thinking. One is a sum you can do. The other depends on what you believe Pelican will do, and on how wrong you can afford to be.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2026-10-09T20:11:02Z</dcterms:created>
  <dcterms:modified xmlns:dcterms="http://purl.org/dc/terms/" xmlns:xsi="http://www.w3.org/2001/XMLSchema-instance" xsi:type="dcterms:W3CDTF">2026-10-09T20:11:02Z</dcterms:modified>
</cp:coreProperties>
</file>