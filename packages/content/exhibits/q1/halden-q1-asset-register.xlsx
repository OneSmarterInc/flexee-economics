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_benchmarks" sheetId="2" state="visible" r:id="rId2"/>
    <sheet xmlns:r="http://schemas.openxmlformats.org/officeDocument/2006/relationships" name="D_upstream_assets" sheetId="3" state="visible" r:id="rId3"/>
    <sheet xmlns:r="http://schemas.openxmlformats.org/officeDocument/2006/relationships" name="D_refining_assets" sheetId="4" state="visible" r:id="rId4"/>
    <sheet xmlns:r="http://schemas.openxmlformats.org/officeDocument/2006/relationships" name="D_rotterdam_cost_split" sheetId="5" state="visible" r:id="rId5"/>
    <sheet xmlns:r="http://schemas.openxmlformats.org/officeDocument/2006/relationships" name="D_book_values" sheetId="6" state="visible" r:id="rId6"/>
    <sheet xmlns:r="http://schemas.openxmlformats.org/officeDocument/2006/relationships" name="D_product_yields" sheetId="7" state="visible" r:id="rId7"/>
    <sheet xmlns:r="http://schemas.openxmlformats.org/officeDocument/2006/relationships" name="D_worked_example_assets" sheetId="8" state="visible" r:id="rId8"/>
    <sheet xmlns:r="http://schemas.openxmlformats.org/officeDocument/2006/relationships" name="Worked Example" sheetId="9" state="visible" r:id="rId9"/>
    <sheet xmlns:r="http://schemas.openxmlformats.org/officeDocument/2006/relationships" name="Your Analysis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55555"/>
      <sz val="9"/>
    </font>
    <font>
      <name val="Arial"/>
      <charset val="1"/>
      <family val="0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9" min="1" max="1"/>
  </cols>
  <sheetData>
    <row r="1" ht="16.15" customHeight="1" s="10">
      <c r="A1" s="11" t="inlineStr">
        <is>
          <t>Halden Energy — Quarter 1: Inheriting the seat</t>
        </is>
      </c>
    </row>
    <row r="3" ht="15" customHeight="1" s="10">
      <c r="A3" s="12" t="inlineStr">
        <is>
          <t>You inherit Halden's asset portfolio. Rank the assets by economic contribution, not reported profit.</t>
        </is>
      </c>
    </row>
    <row r="4" ht="15" customHeight="1" s="10">
      <c r="A4" s="12" t="inlineStr">
        <is>
          <t>Three traps: Rotterdam's sunk book value, the 78% Norwegian tax shield, and the political risk Kessana's income statement hides.</t>
        </is>
      </c>
    </row>
    <row r="5" ht="15" customHeight="1" s="10">
      <c r="A5" s="12" t="inlineStr">
        <is>
          <t>Folded concept: read each refinery's cost structure — contribution over variable cost and the shutdown point.</t>
        </is>
      </c>
    </row>
    <row r="7" ht="15" customHeight="1" s="10">
      <c r="A7" s="12" t="inlineStr">
        <is>
          <t>Tabs: D_* = canonical data (read-only). Worked Example = solved on adjacent data. Your Analysis = fill the yellow cells.</t>
        </is>
      </c>
    </row>
    <row r="8" ht="15" customHeight="1" s="10">
      <c r="A8" s="12" t="inlineStr">
        <is>
          <t>Legend: blue = input, black = formula, yellow = you fill 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2"/>
  </cols>
  <sheetData>
    <row r="1" ht="15" customHeight="1" s="10">
      <c r="A1" s="13" t="inlineStr">
        <is>
          <t>parameter</t>
        </is>
      </c>
      <c r="B1" s="13" t="inlineStr">
        <is>
          <t>value</t>
        </is>
      </c>
    </row>
    <row r="2" ht="15" customHeight="1" s="10">
      <c r="A2" s="14" t="inlineStr">
        <is>
          <t>wti</t>
        </is>
      </c>
      <c r="B2" s="14" t="n">
        <v>74</v>
      </c>
    </row>
    <row r="3" ht="15" customHeight="1" s="10">
      <c r="A3" s="14" t="inlineStr">
        <is>
          <t>brent</t>
        </is>
      </c>
      <c r="B3" s="14" t="n">
        <v>78.5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7"/>
  </cols>
  <sheetData>
    <row r="1" ht="15" customHeight="1" s="10">
      <c r="A1" s="13" t="inlineStr">
        <is>
          <t>asset</t>
        </is>
      </c>
      <c r="B1" s="13" t="inlineStr">
        <is>
          <t>benchmark</t>
        </is>
      </c>
      <c r="C1" s="13" t="inlineStr">
        <is>
          <t>differential</t>
        </is>
      </c>
      <c r="D1" s="13" t="inlineStr">
        <is>
          <t>lifting</t>
        </is>
      </c>
      <c r="E1" s="13" t="inlineStr">
        <is>
          <t>logistics</t>
        </is>
      </c>
      <c r="F1" s="13" t="inlineStr">
        <is>
          <t>fiscal_type</t>
        </is>
      </c>
      <c r="G1" s="13" t="inlineStr">
        <is>
          <t>fiscal_rate</t>
        </is>
      </c>
    </row>
    <row r="2" ht="15" customHeight="1" s="10">
      <c r="A2" s="14" t="inlineStr">
        <is>
          <t>Permian</t>
        </is>
      </c>
      <c r="B2" s="14" t="inlineStr">
        <is>
          <t>WTI</t>
        </is>
      </c>
      <c r="C2" s="14" t="n">
        <v>-3.5</v>
      </c>
      <c r="D2" s="14" t="n">
        <v>8.800000000000001</v>
      </c>
      <c r="E2" s="14" t="n">
        <v>5.3</v>
      </c>
      <c r="F2" s="14" t="inlineStr">
        <is>
          <t>none</t>
        </is>
      </c>
      <c r="G2" s="14" t="n">
        <v>0</v>
      </c>
    </row>
    <row r="3" ht="15" customHeight="1" s="10">
      <c r="A3" s="14" t="inlineStr">
        <is>
          <t>Norwegian</t>
        </is>
      </c>
      <c r="B3" s="14" t="inlineStr">
        <is>
          <t>Brent</t>
        </is>
      </c>
      <c r="C3" s="14" t="n">
        <v>-1</v>
      </c>
      <c r="D3" s="14" t="n">
        <v>28</v>
      </c>
      <c r="E3" s="14" t="n">
        <v>2.5</v>
      </c>
      <c r="F3" s="14" t="inlineStr">
        <is>
          <t>tax</t>
        </is>
      </c>
      <c r="G3" s="14" t="n">
        <v>0.78</v>
      </c>
    </row>
    <row r="4" ht="15" customHeight="1" s="10">
      <c r="A4" s="14" t="inlineStr">
        <is>
          <t>Kessana</t>
        </is>
      </c>
      <c r="B4" s="14" t="inlineStr">
        <is>
          <t>Brent</t>
        </is>
      </c>
      <c r="C4" s="14" t="n">
        <v>-2</v>
      </c>
      <c r="D4" s="14" t="n">
        <v>9.5</v>
      </c>
      <c r="E4" s="14" t="n">
        <v>0</v>
      </c>
      <c r="F4" s="14" t="inlineStr">
        <is>
          <t>psc_take</t>
        </is>
      </c>
      <c r="G4" s="14" t="n">
        <v>0.62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5"/>
  </cols>
  <sheetData>
    <row r="1" ht="15" customHeight="1" s="10">
      <c r="A1" s="13" t="inlineStr">
        <is>
          <t>refinery</t>
        </is>
      </c>
      <c r="B1" s="13" t="inlineStr">
        <is>
          <t>crack</t>
        </is>
      </c>
      <c r="C1" s="13" t="inlineStr">
        <is>
          <t>complexity</t>
        </is>
      </c>
      <c r="D1" s="13" t="inlineStr">
        <is>
          <t>opex</t>
        </is>
      </c>
      <c r="E1" s="13" t="inlineStr">
        <is>
          <t>halden_share</t>
        </is>
      </c>
    </row>
    <row r="2" ht="15" customHeight="1" s="10">
      <c r="A2" s="14" t="inlineStr">
        <is>
          <t>Baton Rouge</t>
        </is>
      </c>
      <c r="B2" s="14" t="n">
        <v>21.5</v>
      </c>
      <c r="C2" s="14" t="n">
        <v>4.75</v>
      </c>
      <c r="D2" s="14" t="n">
        <v>5.9</v>
      </c>
      <c r="E2" s="14" t="n">
        <v>1</v>
      </c>
    </row>
    <row r="3" ht="15" customHeight="1" s="10">
      <c r="A3" s="14" t="inlineStr">
        <is>
          <t>Rotterdam</t>
        </is>
      </c>
      <c r="B3" s="14" t="n">
        <v>4.6</v>
      </c>
      <c r="C3" s="14" t="n">
        <v>1.5</v>
      </c>
      <c r="D3" s="14" t="n">
        <v>6.4</v>
      </c>
      <c r="E3" s="14" t="n">
        <v>1</v>
      </c>
    </row>
    <row r="4" ht="15" customHeight="1" s="10">
      <c r="A4" s="14" t="inlineStr">
        <is>
          <t>Singapore</t>
        </is>
      </c>
      <c r="B4" s="14" t="n">
        <v>12.2</v>
      </c>
      <c r="C4" s="14" t="n">
        <v>2</v>
      </c>
      <c r="D4" s="14" t="n">
        <v>5.6</v>
      </c>
      <c r="E4" s="14" t="n">
        <v>0.4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2"/>
  </cols>
  <sheetData>
    <row r="1" ht="15" customHeight="1" s="10">
      <c r="A1" s="13" t="inlineStr">
        <is>
          <t>parameter</t>
        </is>
      </c>
      <c r="B1" s="13" t="inlineStr">
        <is>
          <t>value</t>
        </is>
      </c>
    </row>
    <row r="2" ht="15" customHeight="1" s="10">
      <c r="A2" s="14" t="inlineStr">
        <is>
          <t>variable_cost</t>
        </is>
      </c>
      <c r="B2" s="14" t="n">
        <v>4.1</v>
      </c>
    </row>
    <row r="3" ht="15" customHeight="1" s="10">
      <c r="A3" s="14" t="inlineStr">
        <is>
          <t>fixed_cost</t>
        </is>
      </c>
      <c r="B3" s="14" t="n">
        <v>2.3</v>
      </c>
    </row>
    <row r="4" ht="15" customHeight="1" s="10">
      <c r="A4" s="14" t="inlineStr">
        <is>
          <t>restart_cost_musd</t>
        </is>
      </c>
      <c r="B4" s="14" t="n">
        <v>85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17" customWidth="1" style="9" min="2" max="2"/>
    <col width="23" customWidth="1" style="9" min="3" max="3"/>
    <col width="22" customWidth="1" style="9" min="4" max="4"/>
  </cols>
  <sheetData>
    <row r="1" ht="15" customHeight="1" s="10">
      <c r="A1" s="13" t="inlineStr">
        <is>
          <t>asset</t>
        </is>
      </c>
      <c r="B1" s="13" t="inlineStr">
        <is>
          <t>book_value_musd</t>
        </is>
      </c>
      <c r="C1" s="13" t="inlineStr">
        <is>
          <t>replacement_cost_musd</t>
        </is>
      </c>
      <c r="D1" s="13" t="inlineStr">
        <is>
          <t>reported_profit_musd</t>
        </is>
      </c>
    </row>
    <row r="2" ht="15" customHeight="1" s="10">
      <c r="A2" s="14" t="inlineStr">
        <is>
          <t>Permian</t>
        </is>
      </c>
      <c r="B2" s="14" t="n">
        <v>6200</v>
      </c>
      <c r="C2" s="14" t="n">
        <v>7800</v>
      </c>
      <c r="D2" s="14" t="n">
        <v>1450</v>
      </c>
    </row>
    <row r="3" ht="15" customHeight="1" s="10">
      <c r="A3" s="14" t="inlineStr">
        <is>
          <t>Norwegian</t>
        </is>
      </c>
      <c r="B3" s="14" t="n">
        <v>4100</v>
      </c>
      <c r="C3" s="14" t="n">
        <v>9500</v>
      </c>
      <c r="D3" s="14" t="n">
        <v>980</v>
      </c>
    </row>
    <row r="4" ht="15" customHeight="1" s="10">
      <c r="A4" s="14" t="inlineStr">
        <is>
          <t>Kessana</t>
        </is>
      </c>
      <c r="B4" s="14" t="n">
        <v>2300</v>
      </c>
      <c r="C4" s="14" t="n">
        <v>5600</v>
      </c>
      <c r="D4" s="14" t="n">
        <v>1120</v>
      </c>
    </row>
    <row r="5" ht="15" customHeight="1" s="10">
      <c r="A5" s="14" t="inlineStr">
        <is>
          <t>Baton Rouge</t>
        </is>
      </c>
      <c r="B5" s="14" t="n">
        <v>3900</v>
      </c>
      <c r="C5" s="14" t="n">
        <v>6800</v>
      </c>
      <c r="D5" s="14" t="n">
        <v>1210</v>
      </c>
    </row>
    <row r="6" ht="15" customHeight="1" s="10">
      <c r="A6" s="14" t="inlineStr">
        <is>
          <t>Rotterdam</t>
        </is>
      </c>
      <c r="B6" s="14" t="n">
        <v>650</v>
      </c>
      <c r="C6" s="14" t="n">
        <v>2900</v>
      </c>
      <c r="D6" s="14" t="n">
        <v>-85</v>
      </c>
    </row>
    <row r="7" ht="15" customHeight="1" s="10">
      <c r="A7" s="14" t="inlineStr">
        <is>
          <t>Singapore</t>
        </is>
      </c>
      <c r="B7" s="14" t="n">
        <v>820</v>
      </c>
      <c r="C7" s="14" t="n">
        <v>1400</v>
      </c>
      <c r="D7" s="14" t="n">
        <v>140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5"/>
  </cols>
  <sheetData>
    <row r="1" ht="15" customHeight="1" s="10">
      <c r="A1" s="13" t="inlineStr">
        <is>
          <t>refinery</t>
        </is>
      </c>
      <c r="B1" s="13" t="inlineStr">
        <is>
          <t>gasoline</t>
        </is>
      </c>
      <c r="C1" s="13" t="inlineStr">
        <is>
          <t>diesel</t>
        </is>
      </c>
      <c r="D1" s="13" t="inlineStr">
        <is>
          <t>jet</t>
        </is>
      </c>
      <c r="E1" s="13" t="inlineStr">
        <is>
          <t>other</t>
        </is>
      </c>
    </row>
    <row r="2" ht="15" customHeight="1" s="10">
      <c r="A2" s="14" t="inlineStr">
        <is>
          <t>Baton Rouge</t>
        </is>
      </c>
      <c r="B2" s="14" t="n">
        <v>0.48</v>
      </c>
      <c r="C2" s="14" t="n">
        <v>0.32</v>
      </c>
      <c r="D2" s="14" t="n">
        <v>0.14</v>
      </c>
      <c r="E2" s="14" t="n">
        <v>0.06</v>
      </c>
    </row>
    <row r="3" ht="15" customHeight="1" s="10">
      <c r="A3" s="14" t="inlineStr">
        <is>
          <t>Rotterdam</t>
        </is>
      </c>
      <c r="B3" s="14" t="n">
        <v>0.32</v>
      </c>
      <c r="C3" s="14" t="n">
        <v>0.44</v>
      </c>
      <c r="D3" s="14" t="n">
        <v>0.16</v>
      </c>
      <c r="E3" s="14" t="n">
        <v>0.08</v>
      </c>
    </row>
    <row r="4" ht="15" customHeight="1" s="10">
      <c r="A4" s="14" t="inlineStr">
        <is>
          <t>Singapore</t>
        </is>
      </c>
      <c r="B4" s="14" t="n">
        <v>0.3</v>
      </c>
      <c r="C4" s="14" t="n">
        <v>0.34</v>
      </c>
      <c r="D4" s="14" t="n">
        <v>0.3</v>
      </c>
      <c r="E4" s="14" t="n">
        <v>0.06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2"/>
  </cols>
  <sheetData>
    <row r="1" ht="15" customHeight="1" s="10">
      <c r="A1" s="13" t="inlineStr">
        <is>
          <t>parameter</t>
        </is>
      </c>
      <c r="B1" s="13" t="inlineStr">
        <is>
          <t>value</t>
        </is>
      </c>
    </row>
    <row r="2" ht="15" customHeight="1" s="10">
      <c r="A2" s="14" t="inlineStr">
        <is>
          <t>x_revenue</t>
        </is>
      </c>
      <c r="B2" s="14" t="n">
        <v>60</v>
      </c>
    </row>
    <row r="3" ht="15" customHeight="1" s="10">
      <c r="A3" s="14" t="inlineStr">
        <is>
          <t>x_cost</t>
        </is>
      </c>
      <c r="B3" s="14" t="n">
        <v>20</v>
      </c>
    </row>
    <row r="4" ht="15" customHeight="1" s="10">
      <c r="A4" s="14" t="inlineStr">
        <is>
          <t>x_tax</t>
        </is>
      </c>
      <c r="B4" s="14" t="n">
        <v>0.7</v>
      </c>
    </row>
    <row r="5" ht="15" customHeight="1" s="10">
      <c r="A5" s="14" t="inlineStr">
        <is>
          <t>y_gross</t>
        </is>
      </c>
      <c r="B5" s="14" t="n">
        <v>6</v>
      </c>
    </row>
    <row r="6" ht="15" customHeight="1" s="10">
      <c r="A6" s="14" t="inlineStr">
        <is>
          <t>y_variable</t>
        </is>
      </c>
      <c r="B6" s="14" t="n">
        <v>4.5</v>
      </c>
    </row>
    <row r="7" ht="15" customHeight="1" s="10">
      <c r="A7" s="14" t="inlineStr">
        <is>
          <t>y_fixed</t>
        </is>
      </c>
      <c r="B7" s="14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2" customWidth="1" style="9" min="1" max="1"/>
    <col width="20" customWidth="1" style="9" min="2" max="2"/>
  </cols>
  <sheetData>
    <row r="1" ht="16.15" customHeight="1" s="10">
      <c r="A1" s="11" t="inlineStr">
        <is>
          <t>Worked Example — solved on adjacent data. Study the method, then do Your Analysis.</t>
        </is>
      </c>
    </row>
    <row r="2" ht="15" customHeight="1" s="10">
      <c r="A2" s="15" t="inlineStr">
        <is>
          <t>Asset X looks profitable on reported gross but keeps little after a 70% tax. Asset Y reports a loss but covers its variable cost.</t>
        </is>
      </c>
    </row>
    <row r="4" ht="15" customHeight="1" s="10">
      <c r="A4" s="12" t="inlineStr">
        <is>
          <t>Asset X reported gross profit ($/bbl)</t>
        </is>
      </c>
      <c r="B4" s="16">
        <f>D_worked_example_assets!B2-D_worked_example_assets!B3</f>
        <v/>
      </c>
    </row>
    <row r="5" ht="15" customHeight="1" s="10">
      <c r="A5" s="12" t="inlineStr">
        <is>
          <t>Asset X after a 70% tax ($/bbl)</t>
        </is>
      </c>
      <c r="B5" s="16">
        <f>(D_worked_example_assets!B2-D_worked_example_assets!B3)*(1-D_worked_example_assets!B4)</f>
        <v/>
      </c>
    </row>
    <row r="6" ht="15" customHeight="1" s="10">
      <c r="A6" s="12" t="inlineStr">
        <is>
          <t>Asset Y contribution over variable cost ($/bbl)</t>
        </is>
      </c>
      <c r="B6" s="16">
        <f>D_worked_example_assets!B5-D_worked_example_assets!B6</f>
        <v/>
      </c>
    </row>
    <row r="7" ht="15" customHeight="1" s="10">
      <c r="A7" s="12" t="inlineStr">
        <is>
          <t>Asset Y net margin — a loss, yet it covers variable cost ($/bbl)</t>
        </is>
      </c>
      <c r="B7" s="16">
        <f>D_worked_example_assets!B5-D_worked_example_assets!B6-D_worked_example_assets!B7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4" customWidth="1" style="9" min="1" max="1"/>
    <col width="22" customWidth="1" style="9" min="2" max="2"/>
  </cols>
  <sheetData>
    <row r="1" ht="16.15" customHeight="1" s="10">
      <c r="A1" s="11" t="inlineStr">
        <is>
          <t>Your Analysis — fill the YELLOW cells</t>
        </is>
      </c>
    </row>
    <row r="2" ht="15" customHeight="1" s="10">
      <c r="A2" s="15" t="inlineStr">
        <is>
          <t>Blue cells on the D_ tabs are your inputs. Compute each answer with a formula.</t>
        </is>
      </c>
    </row>
    <row r="4" ht="15" customHeight="1" s="10">
      <c r="A4" s="12" t="inlineStr">
        <is>
          <t>Permian realized wellhead price ($/bbl) = WTI + differential</t>
        </is>
      </c>
      <c r="B4" s="17" t="n"/>
    </row>
    <row r="5" ht="15" customHeight="1" s="10">
      <c r="A5" s="12" t="inlineStr">
        <is>
          <t>Permian retained margin ($/bbl) = realized − lifting − gathering/transport</t>
        </is>
      </c>
      <c r="B5" s="17" t="n"/>
    </row>
    <row r="6" ht="15" customHeight="1" s="10">
      <c r="A6" s="12" t="inlineStr">
        <is>
          <t>Norwegian pre-tax margin ($/bbl)</t>
        </is>
      </c>
      <c r="B6" s="17" t="n"/>
    </row>
    <row r="7" ht="15" customHeight="1" s="10">
      <c r="A7" s="12" t="inlineStr">
        <is>
          <t>Norwegian post-tax margin at 78% ($/bbl)</t>
        </is>
      </c>
      <c r="B7" s="17" t="n"/>
    </row>
    <row r="8" ht="15" customHeight="1" s="10">
      <c r="A8" s="12" t="inlineStr">
        <is>
          <t>After-tax cost to Halden of a Norwegian barrel losing $2 pre-tax</t>
        </is>
      </c>
      <c r="B8" s="17" t="n"/>
    </row>
    <row r="9" ht="15" customHeight="1" s="10">
      <c r="A9" s="12" t="inlineStr">
        <is>
          <t>Kessana company margin after 62% government take ($/bbl)</t>
        </is>
      </c>
      <c r="B9" s="17" t="n"/>
    </row>
    <row r="10" ht="15" customHeight="1" s="10">
      <c r="A10" s="12" t="inlineStr">
        <is>
          <t>Baton Rouge net refining margin ($/bbl)</t>
        </is>
      </c>
      <c r="B10" s="17" t="n"/>
    </row>
    <row r="11" ht="15" customHeight="1" s="10">
      <c r="A11" s="12" t="inlineStr">
        <is>
          <t>Rotterdam contribution over variable cost ($/bbl)</t>
        </is>
      </c>
      <c r="B11" s="17" t="n"/>
    </row>
    <row r="12" ht="15" customHeight="1" s="10">
      <c r="A12" s="12" t="inlineStr">
        <is>
          <t>Rotterdam net margin ($/bbl)</t>
        </is>
      </c>
      <c r="B12" s="17" t="n"/>
    </row>
    <row r="13" ht="15" customHeight="1" s="10">
      <c r="A13" s="12" t="inlineStr">
        <is>
          <t>Rotterdam shutdown crack ($/bbl) — below this, variable cost is not covered</t>
        </is>
      </c>
      <c r="B13" s="17" t="n"/>
    </row>
    <row r="14" ht="15" customHeight="1" s="10">
      <c r="A14" s="12" t="inlineStr">
        <is>
          <t>Singapore net margin, Halden 40% share ($/bbl)</t>
        </is>
      </c>
      <c r="B14" s="17" t="n"/>
    </row>
    <row r="15" ht="15" customHeight="1" s="10">
      <c r="A15" s="12" t="inlineStr">
        <is>
          <t>Top asset by economic contribution</t>
        </is>
      </c>
      <c r="B1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2026-09-25T09:25:47Z</dcterms:created>
  <dcterms:modified xmlns:dcterms="http://purl.org/dc/terms/" xmlns:xsi="http://www.w3.org/2001/XMLSchema-instance" xsi:type="dcterms:W3CDTF">2026-10-10T19:24:50Z</dcterms:modified>
  <cp:revision>0</cp:revision>
</cp:coreProperties>
</file>