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— Outcomes" sheetId="2" state="visible" r:id="rId2"/>
    <sheet xmlns:r="http://schemas.openxmlformats.org/officeDocument/2006/relationships" name="Data — How it spreads" sheetId="3" state="visible" r:id="rId3"/>
    <sheet xmlns:r="http://schemas.openxmlformats.org/officeDocument/2006/relationships" name="Data — Past cuts" sheetId="4" state="visible" r:id="rId4"/>
    <sheet xmlns:r="http://schemas.openxmlformats.org/officeDocument/2006/relationships" name="Data — Crude ahead" sheetId="5" state="visible" r:id="rId5"/>
    <sheet xmlns:r="http://schemas.openxmlformats.org/officeDocument/2006/relationships" name="Worked Example" sheetId="6" state="visible" r:id="rId6"/>
    <sheet xmlns:r="http://schemas.openxmlformats.org/officeDocument/2006/relationships" name="Your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4E7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Halden Energy — Quarter 8: OPEC+ meets in Vienna</t>
        </is>
      </c>
    </row>
    <row r="2">
      <c r="A2" t="inlineStr"/>
    </row>
    <row r="3">
      <c r="A3" t="inlineStr">
        <is>
          <t>OPEC+ has called a meeting to agree a production cut. What it is worth to Halden depends entirely on whether the cut holds, and nobody knows that until after the meeting.</t>
        </is>
      </c>
    </row>
    <row r="4">
      <c r="A4" t="inlineStr">
        <is>
          <t>One move in the oil price pushes the parts of Halden in different directions. If the cut holds, crude rises: the oil fields earn more, the Gulf Coast refining margin shrinks, and drivers barely notice.</t>
        </is>
      </c>
    </row>
    <row r="5">
      <c r="A5" t="inlineStr">
        <is>
          <t>So the right answer for Halden is not the sum of the right answers for each part of it.</t>
        </is>
      </c>
    </row>
    <row r="6">
      <c r="A6" t="inlineStr"/>
    </row>
    <row r="7">
      <c r="A7" s="2" t="inlineStr">
        <is>
          <t>Tabs:</t>
        </is>
      </c>
    </row>
    <row r="8">
      <c r="A8" t="inlineStr">
        <is>
          <t xml:space="preserve">  Data — Outcomes: the three things that can happen in Vienna, the chances analysts quote, and where oil ends up.</t>
        </is>
      </c>
    </row>
    <row r="9">
      <c r="A9" t="inlineStr">
        <is>
          <t xml:space="preserve">  Data — How it spreads: how a dollar on crude reaches the oil fields, the refinery and the pump.</t>
        </is>
      </c>
    </row>
    <row r="10">
      <c r="A10" t="inlineStr">
        <is>
          <t xml:space="preserve">  Data — Past cuts: what OPEC+ members actually delivered the last five times. The basis for your own view of the odds.</t>
        </is>
      </c>
    </row>
    <row r="11">
      <c r="A11" t="inlineStr">
        <is>
          <t xml:space="preserve">  Data — Crude ahead: what each planning case buys ahead of the meeting, and what the money costs.</t>
        </is>
      </c>
    </row>
    <row r="12">
      <c r="A12" t="inlineStr">
        <is>
          <t xml:space="preserve">  Worked Example: an expected value under uncertainty, on an earlier shock, fully solved.</t>
        </is>
      </c>
    </row>
    <row r="13">
      <c r="A13" t="inlineStr">
        <is>
          <t xml:space="preserve">  Your Analysis: fill in the yellow cells.</t>
        </is>
      </c>
    </row>
    <row r="14">
      <c r="A14" t="inlineStr"/>
    </row>
    <row r="15">
      <c r="A15" t="inlineStr">
        <is>
          <t>Blue = data. Black = formula. Yellow = you fill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19" customWidth="1" min="5" max="5"/>
  </cols>
  <sheetData>
    <row r="1">
      <c r="A1" s="1" t="inlineStr">
        <is>
          <t>What can happen in Vienna</t>
        </is>
      </c>
    </row>
    <row r="3">
      <c r="A3" s="2" t="inlineStr">
        <is>
          <t>outcome</t>
        </is>
      </c>
      <c r="B3" s="2" t="inlineStr">
        <is>
          <t>label</t>
        </is>
      </c>
      <c r="C3" s="2" t="inlineStr">
        <is>
          <t>chance_analysts_quote</t>
        </is>
      </c>
      <c r="D3" s="2" t="inlineStr">
        <is>
          <t>oil_price_move_usd_bbl</t>
        </is>
      </c>
      <c r="E3" s="2" t="inlineStr">
        <is>
          <t>oil_price_usd_bbl</t>
        </is>
      </c>
    </row>
    <row r="4">
      <c r="A4" t="inlineStr">
        <is>
          <t>full</t>
        </is>
      </c>
      <c r="B4" t="inlineStr">
        <is>
          <t>The cut holds in full</t>
        </is>
      </c>
      <c r="C4" s="3" t="n">
        <v>0.35</v>
      </c>
      <c r="D4" s="3" t="n">
        <v>14</v>
      </c>
      <c r="E4" s="3" t="n">
        <v>88</v>
      </c>
    </row>
    <row r="5">
      <c r="A5" t="inlineStr">
        <is>
          <t>partial</t>
        </is>
      </c>
      <c r="B5" t="inlineStr">
        <is>
          <t>The cut partly holds</t>
        </is>
      </c>
      <c r="C5" s="3" t="n">
        <v>0.4</v>
      </c>
      <c r="D5" s="3" t="n">
        <v>7</v>
      </c>
      <c r="E5" s="3" t="n">
        <v>81</v>
      </c>
    </row>
    <row r="6">
      <c r="A6" t="inlineStr">
        <is>
          <t>fails</t>
        </is>
      </c>
      <c r="B6" t="inlineStr">
        <is>
          <t>The cut falls apart</t>
        </is>
      </c>
      <c r="C6" s="3" t="n">
        <v>0.25</v>
      </c>
      <c r="D6" s="3" t="n">
        <v>-4</v>
      </c>
      <c r="E6" s="3" t="n">
        <v>70</v>
      </c>
    </row>
    <row r="9">
      <c r="A9" s="2" t="inlineStr">
        <is>
          <t>Before the meeting</t>
        </is>
      </c>
    </row>
    <row r="10">
      <c r="A10" s="2" t="inlineStr">
        <is>
          <t>parameter</t>
        </is>
      </c>
      <c r="B10" s="2" t="inlineStr">
        <is>
          <t>value</t>
        </is>
      </c>
      <c r="C10" s="2" t="inlineStr">
        <is>
          <t>note</t>
        </is>
      </c>
    </row>
    <row r="11">
      <c r="A11" t="inlineStr">
        <is>
          <t>oil_price_usd_bbl</t>
        </is>
      </c>
      <c r="B11" s="3" t="n">
        <v>74</v>
      </c>
      <c r="C11" t="inlineStr">
        <is>
          <t>WTI before the meeting</t>
        </is>
      </c>
    </row>
    <row r="12">
      <c r="A12" t="inlineStr">
        <is>
          <t>brent_usd_bbl</t>
        </is>
      </c>
      <c r="B12" s="3" t="n">
        <v>78.5</v>
      </c>
      <c r="C12" t="inlineStr">
        <is>
          <t>Brent, always $4.50 above WTI</t>
        </is>
      </c>
    </row>
    <row r="13">
      <c r="A13" t="inlineStr">
        <is>
          <t>gulf_coast_margin_usd_bbl</t>
        </is>
      </c>
      <c r="B13" s="3" t="n">
        <v>21.5</v>
      </c>
      <c r="C13" t="inlineStr">
        <is>
          <t>what a Gulf Coast refinery makes per barrel before the meeting</t>
        </is>
      </c>
    </row>
    <row r="14">
      <c r="A14" t="inlineStr">
        <is>
          <t>pump_price_usd_gal</t>
        </is>
      </c>
      <c r="B14" s="3" t="n">
        <v>3.2</v>
      </c>
      <c r="C14" t="inlineStr">
        <is>
          <t>typical pump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>
      <c r="A1" s="1" t="inlineStr">
        <is>
          <t>How a dollar on crude reaches each part of Halden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oil_fields_per_dollar</t>
        </is>
      </c>
      <c r="B4" s="3" t="n">
        <v>1</v>
      </c>
      <c r="C4" t="inlineStr">
        <is>
          <t>the oil fields get every dollar of a crude move, per barrel</t>
        </is>
      </c>
    </row>
    <row r="5">
      <c r="A5" t="inlineStr">
        <is>
          <t>gulf_coast_margin_per_dollar</t>
        </is>
      </c>
      <c r="B5" s="3" t="n">
        <v>-0.35</v>
      </c>
      <c r="C5" t="inlineStr">
        <is>
          <t>the refining margin moves this much for each dollar crude moves (short run)</t>
        </is>
      </c>
    </row>
    <row r="6">
      <c r="A6" t="inlineStr">
        <is>
          <t>share_reaching_the_pump</t>
        </is>
      </c>
      <c r="B6" s="3" t="n">
        <v>0.6</v>
      </c>
      <c r="C6" t="inlineStr">
        <is>
          <t>share of a crude move that drivers see at the pump</t>
        </is>
      </c>
    </row>
    <row r="7">
      <c r="A7" t="inlineStr">
        <is>
          <t>driver_response</t>
        </is>
      </c>
      <c r="B7" s="3" t="n">
        <v>-0.05</v>
      </c>
      <c r="C7" t="inlineStr">
        <is>
          <t>percent change in fuel sales for each 1% change in the pump price</t>
        </is>
      </c>
    </row>
    <row r="8">
      <c r="A8" t="inlineStr">
        <is>
          <t>gallons_per_barrel</t>
        </is>
      </c>
      <c r="B8" s="3" t="n">
        <v>42</v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7" customWidth="1" min="4" max="4"/>
    <col width="40" customWidth="1" min="5" max="5"/>
  </cols>
  <sheetData>
    <row r="1">
      <c r="A1" s="1" t="inlineStr">
        <is>
          <t>What OPEC+ delivered the last five times it announced a cut</t>
        </is>
      </c>
    </row>
    <row r="3">
      <c r="A3" s="2" t="inlineStr">
        <is>
          <t>episode</t>
        </is>
      </c>
      <c r="B3" s="2" t="inlineStr">
        <is>
          <t>announced_cut_mbd</t>
        </is>
      </c>
      <c r="C3" s="2" t="inlineStr">
        <is>
          <t>delivered_mbd</t>
        </is>
      </c>
      <c r="D3" s="2" t="inlineStr">
        <is>
          <t>share_delivered</t>
        </is>
      </c>
      <c r="E3" s="2" t="inlineStr">
        <is>
          <t>note</t>
        </is>
      </c>
    </row>
    <row r="4">
      <c r="A4" t="inlineStr">
        <is>
          <t>A</t>
        </is>
      </c>
      <c r="B4" s="3" t="n">
        <v>1.2</v>
      </c>
      <c r="C4" s="3" t="n">
        <v>0.9</v>
      </c>
      <c r="D4" s="3" t="n">
        <v>0.75</v>
      </c>
      <c r="E4" t="inlineStr">
        <is>
          <t>Deep cut tight market</t>
        </is>
      </c>
    </row>
    <row r="5">
      <c r="A5" t="inlineStr">
        <is>
          <t>B</t>
        </is>
      </c>
      <c r="B5" s="3" t="n">
        <v>2</v>
      </c>
      <c r="C5" s="3" t="n">
        <v>1.1</v>
      </c>
      <c r="D5" s="3" t="n">
        <v>0.55</v>
      </c>
      <c r="E5" t="inlineStr">
        <is>
          <t>Members faced fiscal pressure to cheat</t>
        </is>
      </c>
    </row>
    <row r="6">
      <c r="A6" t="inlineStr">
        <is>
          <t>C</t>
        </is>
      </c>
      <c r="B6" s="3" t="n">
        <v>1.5</v>
      </c>
      <c r="C6" s="3" t="n">
        <v>1.4</v>
      </c>
      <c r="D6" s="3" t="n">
        <v>0.93</v>
      </c>
      <c r="E6" t="inlineStr">
        <is>
          <t>Deep cut already tight</t>
        </is>
      </c>
    </row>
    <row r="7">
      <c r="A7" t="inlineStr">
        <is>
          <t>D</t>
        </is>
      </c>
      <c r="B7" s="3" t="n">
        <v>1</v>
      </c>
      <c r="C7" s="3" t="n">
        <v>0.4</v>
      </c>
      <c r="D7" s="3" t="n">
        <v>0.4</v>
      </c>
      <c r="E7" t="inlineStr">
        <is>
          <t>Cut collapsed</t>
        </is>
      </c>
    </row>
    <row r="8">
      <c r="A8" t="inlineStr">
        <is>
          <t>E</t>
        </is>
      </c>
      <c r="B8" s="3" t="n">
        <v>1.6</v>
      </c>
      <c r="C8" s="3" t="n">
        <v>1.2</v>
      </c>
      <c r="D8" s="3" t="n">
        <v>0.75</v>
      </c>
      <c r="E8" t="inlineStr">
        <is>
          <t>Most recent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55" customWidth="1" min="3" max="3"/>
  </cols>
  <sheetData>
    <row r="1">
      <c r="A1" s="1" t="inlineStr">
        <is>
          <t>Crude Geneva buys ahead of the meeting, by planning case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days_if_planning_for_the_cut_to_hold</t>
        </is>
      </c>
      <c r="B4" s="3" t="n">
        <v>30</v>
      </c>
      <c r="C4" t="inlineStr"/>
    </row>
    <row r="5">
      <c r="A5" t="inlineStr">
        <is>
          <t>days_if_planning_for_a_partial_cut</t>
        </is>
      </c>
      <c r="B5" s="3" t="n">
        <v>15</v>
      </c>
      <c r="C5" t="inlineStr"/>
    </row>
    <row r="6">
      <c r="A6" t="inlineStr">
        <is>
          <t>days_if_planning_for_the_cut_to_fail</t>
        </is>
      </c>
      <c r="B6" s="3" t="n">
        <v>0</v>
      </c>
      <c r="C6" t="inlineStr"/>
    </row>
    <row r="7">
      <c r="A7" t="inlineStr">
        <is>
          <t>baton_rouge_barrels_per_day_at_96pct</t>
        </is>
      </c>
      <c r="B7" s="3" t="n">
        <v>499200</v>
      </c>
      <c r="C7" t="inlineStr">
        <is>
          <t>what Baton Rouge takes each day at its usual run rate</t>
        </is>
      </c>
    </row>
    <row r="8">
      <c r="A8" t="inlineStr">
        <is>
          <t>interest_on_money_tied_up_per_year</t>
        </is>
      </c>
      <c r="B8" s="3" t="n">
        <v>0.08500000000000001</v>
      </c>
      <c r="C8" t="inlineStr">
        <is>
          <t>charged for one quarter on the crude bought ahead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4" customWidth="1" min="3" max="3"/>
  </cols>
  <sheetData>
    <row r="1">
      <c r="A1" s="1" t="inlineStr">
        <is>
          <t>Worked Example — an expected value under uncertainty, on an earlier shock</t>
        </is>
      </c>
    </row>
    <row r="2">
      <c r="A2" t="inlineStr">
        <is>
          <t>Weight each outcome by its chance. Then look at the worst case on its own, because a large loss can matter more than its chance suggests.</t>
        </is>
      </c>
    </row>
    <row r="3">
      <c r="A3" s="2" t="inlineStr">
        <is>
          <t>outcome</t>
        </is>
      </c>
      <c r="B3" s="2" t="inlineStr">
        <is>
          <t>chance</t>
        </is>
      </c>
      <c r="C3" s="2" t="inlineStr">
        <is>
          <t>oil_price_move_usd_bbl</t>
        </is>
      </c>
      <c r="D3" s="2" t="inlineStr">
        <is>
          <t>Oil fields, per barrel</t>
        </is>
      </c>
      <c r="E3" s="2" t="inlineStr">
        <is>
          <t>Gulf Coast margin</t>
        </is>
      </c>
      <c r="F3" s="2" t="inlineStr">
        <is>
          <t>Chance × oil fields</t>
        </is>
      </c>
    </row>
    <row r="4">
      <c r="A4" t="inlineStr">
        <is>
          <t>up</t>
        </is>
      </c>
      <c r="B4" s="3" t="n">
        <v>0.5</v>
      </c>
      <c r="C4" s="3" t="n">
        <v>10</v>
      </c>
      <c r="D4">
        <f>C4*'Data — How it spreads'!B4</f>
        <v/>
      </c>
      <c r="E4">
        <f>'Data — Outcomes'!B13+C4*'Data — How it spreads'!B5</f>
        <v/>
      </c>
      <c r="F4">
        <f>B4*D4</f>
        <v/>
      </c>
    </row>
    <row r="5">
      <c r="A5" t="inlineStr">
        <is>
          <t>flat</t>
        </is>
      </c>
      <c r="B5" s="3" t="n">
        <v>0.3</v>
      </c>
      <c r="C5" s="3" t="n">
        <v>0</v>
      </c>
      <c r="D5">
        <f>C5*'Data — How it spreads'!B4</f>
        <v/>
      </c>
      <c r="E5">
        <f>'Data — Outcomes'!B13+C5*'Data — How it spreads'!B5</f>
        <v/>
      </c>
      <c r="F5">
        <f>B5*D5</f>
        <v/>
      </c>
    </row>
    <row r="6">
      <c r="A6" t="inlineStr">
        <is>
          <t>down</t>
        </is>
      </c>
      <c r="B6" s="3" t="n">
        <v>0.2</v>
      </c>
      <c r="C6" s="3" t="n">
        <v>-8</v>
      </c>
      <c r="D6">
        <f>C6*'Data — How it spreads'!B4</f>
        <v/>
      </c>
      <c r="E6">
        <f>'Data — Outcomes'!B13+C6*'Data — How it spreads'!B5</f>
        <v/>
      </c>
      <c r="F6">
        <f>B6*D6</f>
        <v/>
      </c>
    </row>
    <row r="8">
      <c r="A8" s="2" t="inlineStr">
        <is>
          <t>Expected move in what the oil fields earn, per barrel:</t>
        </is>
      </c>
      <c r="F8">
        <f>SUM(F4:F6)</f>
        <v/>
      </c>
    </row>
    <row r="10">
      <c r="A10" t="inlineStr">
        <is>
          <t>The expected move is +$3.40 a barrel. But in the down case the refinery gains and the oil fields lose $8. Which part of Halden would you rather be, and how much of the company rides on the guess?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70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Your Analysis — fill the YELLOW cells</t>
        </is>
      </c>
    </row>
    <row r="2">
      <c r="A2" t="inlineStr">
        <is>
          <t>Part A: your own view of the odds, from the past cuts (they must add up to 100%).</t>
        </is>
      </c>
    </row>
    <row r="3">
      <c r="A3" s="2" t="inlineStr">
        <is>
          <t>Outcome</t>
        </is>
      </c>
      <c r="B3" s="2" t="inlineStr">
        <is>
          <t>Your chance</t>
        </is>
      </c>
    </row>
    <row r="4">
      <c r="A4" t="inlineStr">
        <is>
          <t>The cut holds in full</t>
        </is>
      </c>
      <c r="B4" s="4" t="n"/>
    </row>
    <row r="5">
      <c r="A5" t="inlineStr">
        <is>
          <t>The cut partly holds</t>
        </is>
      </c>
      <c r="B5" s="4" t="n"/>
    </row>
    <row r="6">
      <c r="A6" t="inlineStr">
        <is>
          <t>The cut falls apart</t>
        </is>
      </c>
      <c r="B6" s="4" t="n"/>
    </row>
    <row r="7">
      <c r="A7" t="inlineStr">
        <is>
          <t>Sum</t>
        </is>
      </c>
      <c r="B7">
        <f>SUM(B4:B6)</f>
        <v/>
      </c>
    </row>
    <row r="9">
      <c r="A9" t="inlineStr">
        <is>
          <t>Part B: what each outcome does to each part of Halden.</t>
        </is>
      </c>
    </row>
    <row r="10">
      <c r="A10" s="2" t="inlineStr">
        <is>
          <t>Outcome</t>
        </is>
      </c>
      <c r="B10" s="2" t="inlineStr">
        <is>
          <t>Oil fields, $ a barrel</t>
        </is>
      </c>
      <c r="C10" s="2" t="inlineStr">
        <is>
          <t>Gulf Coast margin, $ a barrel</t>
        </is>
      </c>
      <c r="D10" s="2" t="inlineStr">
        <is>
          <t>Fuel sales, % change</t>
        </is>
      </c>
    </row>
    <row r="11">
      <c r="A11" t="inlineStr">
        <is>
          <t>The cut holds in full</t>
        </is>
      </c>
      <c r="B11" s="4" t="n"/>
      <c r="C11" s="4" t="n"/>
      <c r="D11" s="4" t="n"/>
    </row>
    <row r="12">
      <c r="A12" t="inlineStr">
        <is>
          <t>The cut partly holds</t>
        </is>
      </c>
      <c r="B12" s="4" t="n"/>
      <c r="C12" s="4" t="n"/>
      <c r="D12" s="4" t="n"/>
    </row>
    <row r="13">
      <c r="A13" t="inlineStr">
        <is>
          <t>The cut falls apart</t>
        </is>
      </c>
      <c r="B13" s="4" t="n"/>
      <c r="C13" s="4" t="n"/>
      <c r="D13" s="4" t="n"/>
    </row>
    <row r="14">
      <c r="A14" t="inlineStr">
        <is>
          <t>Oil fields = the oil move × 1. Margin = $21.50 + the oil move × (−0.35). Fuel sales = −0.05 × 0.60 × (the oil move ÷ 42) ÷ $3.20 × 100.</t>
        </is>
      </c>
    </row>
    <row r="16">
      <c r="A16" t="inlineStr">
        <is>
          <t>Part C: crude bought ahead.</t>
        </is>
      </c>
    </row>
    <row r="17">
      <c r="A17" s="2" t="inlineStr">
        <is>
          <t>Outcome</t>
        </is>
      </c>
      <c r="B17" s="2" t="inlineStr">
        <is>
          <t>Gain or loss if you planned for the cut to hold (30 days), $M</t>
        </is>
      </c>
      <c r="C17" s="2" t="inlineStr">
        <is>
          <t>If you planned for a partial cut (15 days), $M</t>
        </is>
      </c>
      <c r="D17" s="2" t="inlineStr">
        <is>
          <t>If you planned for it to fail (0 days), $M</t>
        </is>
      </c>
    </row>
    <row r="18">
      <c r="A18" t="inlineStr">
        <is>
          <t>The cut holds in full</t>
        </is>
      </c>
      <c r="B18" s="4" t="n"/>
      <c r="C18" s="4" t="n"/>
      <c r="D18" s="4" t="n"/>
    </row>
    <row r="19">
      <c r="A19" t="inlineStr">
        <is>
          <t>The cut partly holds</t>
        </is>
      </c>
      <c r="B19" s="4" t="n"/>
      <c r="C19" s="4" t="n"/>
      <c r="D19" s="4" t="n"/>
    </row>
    <row r="20">
      <c r="A20" t="inlineStr">
        <is>
          <t>The cut falls apart</t>
        </is>
      </c>
      <c r="B20" s="4" t="n"/>
      <c r="C20" s="4" t="n"/>
      <c r="D20" s="4" t="n"/>
    </row>
    <row r="21">
      <c r="A21" s="2" t="inlineStr">
        <is>
          <t>Expected gain at your odds, less interest</t>
        </is>
      </c>
      <c r="B21" s="4" t="n"/>
      <c r="C21" s="4" t="n"/>
      <c r="D21" s="4" t="n"/>
    </row>
    <row r="22">
      <c r="A22" t="inlineStr">
        <is>
          <t>Gain = days × barrels a day × the oil move ÷ 1,000,000. Interest = days × barrels a day × $74 × 8.5% ÷ 4 ÷ 1,000,000, whatever happens.</t>
        </is>
      </c>
    </row>
    <row r="24">
      <c r="A24" s="2" t="inlineStr">
        <is>
          <t>Part D: the integration question.</t>
        </is>
      </c>
    </row>
    <row r="25">
      <c r="A25" t="inlineStr">
        <is>
          <t>Which part of Halden wants the cut to hold?</t>
        </is>
      </c>
      <c r="B25" s="4" t="n"/>
    </row>
    <row r="26">
      <c r="A26" t="inlineStr">
        <is>
          <t>Which part is hurt if it holds?</t>
        </is>
      </c>
      <c r="B26" s="4" t="n"/>
    </row>
    <row r="27">
      <c r="A27" t="inlineStr">
        <is>
          <t>What Geneva plans for, and what the team does with rigs, run rates and hedges, and why</t>
        </is>
      </c>
      <c r="B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2026-10-10T06:13:49Z</dcterms:created>
  <dcterms:modified xmlns:dcterms="http://purl.org/dc/terms/" xmlns:xsi="http://www.w3.org/2001/XMLSchema-instance" xsi:type="dcterms:W3CDTF">2026-10-10T06:13:49Z</dcterms:modified>
</cp:coreProperties>
</file>