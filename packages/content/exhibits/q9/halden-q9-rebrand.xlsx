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 Regions" sheetId="2" state="visible" r:id="rId2"/>
    <sheet xmlns:r="http://schemas.openxmlformats.org/officeDocument/2006/relationships" name="Data — Cost" sheetId="3" state="visible" r:id="rId3"/>
    <sheet xmlns:r="http://schemas.openxmlformats.org/officeDocument/2006/relationships" name="Data — Shop margin" sheetId="4" state="visible" r:id="rId4"/>
    <sheet xmlns:r="http://schemas.openxmlformats.org/officeDocument/2006/relationships" name="Worked Example" sheetId="5" state="visible" r:id="rId5"/>
    <sheet xmlns:r="http://schemas.openxmlformats.org/officeDocument/2006/relationships" name="Your Analysi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1F4E79"/>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Halden Energy — Quarter 9: the Cordell name</t>
        </is>
      </c>
    </row>
    <row r="2">
      <c r="A2" t="inlineStr"/>
    </row>
    <row r="3">
      <c r="A3" t="inlineStr">
        <is>
          <t>Danielle wants the Halden name on all 4,300 US stations. Marcus says that in Louisiana and Mississippi the Cordell name is worth more than Halden's. They are both right, in different places.</t>
        </is>
      </c>
    </row>
    <row r="4">
      <c r="A4" t="inlineStr">
        <is>
          <t>A brand shows up in one line of the accounts: what people buy in the shop. In each region, work out what each name is worth per fill, multiply by fills, and compare with what it costs to repaint.</t>
        </is>
      </c>
    </row>
    <row r="5">
      <c r="A5" t="inlineStr">
        <is>
          <t>This year's shop margin depends on what every chain in your class did about Pelican's price cut last summer. A price war shrinks what any brand is worth.</t>
        </is>
      </c>
    </row>
    <row r="6">
      <c r="A6" t="inlineStr"/>
    </row>
    <row r="7">
      <c r="A7" s="2" t="inlineStr">
        <is>
          <t>Tabs:</t>
        </is>
      </c>
    </row>
    <row r="8">
      <c r="A8" t="inlineStr">
        <is>
          <t xml:space="preserve">  Data — Regions: the three Cordell regions, how many stations, and what each name adds per fill.</t>
        </is>
      </c>
    </row>
    <row r="9">
      <c r="A9" t="inlineStr">
        <is>
          <t xml:space="preserve">  Data — Cost: the programme cost, fills per station, and the usual shop margin.</t>
        </is>
      </c>
    </row>
    <row r="10">
      <c r="A10" t="inlineStr">
        <is>
          <t xml:space="preserve">  Data — Shop margin: what this year's shop margin is for three kinds of class. Your instructor can tell you which you are; it also shows on your Prices page notes.</t>
        </is>
      </c>
    </row>
    <row r="11">
      <c r="A11" t="inlineStr">
        <is>
          <t xml:space="preserve">  Worked Example: two towns, one new sign, fully solved.</t>
        </is>
      </c>
    </row>
    <row r="12">
      <c r="A12" t="inlineStr">
        <is>
          <t xml:space="preserve">  Your Analysis: fill in the yellow cells.</t>
        </is>
      </c>
    </row>
    <row r="13">
      <c r="A13" t="inlineStr"/>
    </row>
    <row r="14">
      <c r="A14" t="inlineStr">
        <is>
          <t>Blue = data. Black = formula. Yellow = you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8" customWidth="1" min="2" max="2"/>
    <col width="21" customWidth="1" min="3" max="3"/>
    <col width="14" customWidth="1" min="4" max="4"/>
    <col width="27" customWidth="1" min="5" max="5"/>
    <col width="31" customWidth="1" min="6" max="6"/>
  </cols>
  <sheetData>
    <row r="1">
      <c r="A1" s="1" t="inlineStr">
        <is>
          <t>The three Cordell regions</t>
        </is>
      </c>
    </row>
    <row r="3">
      <c r="A3" s="2" t="inlineStr">
        <is>
          <t>region</t>
        </is>
      </c>
      <c r="B3" s="2" t="inlineStr">
        <is>
          <t>label</t>
        </is>
      </c>
      <c r="C3" s="2" t="inlineStr">
        <is>
          <t>what_the_name_means</t>
        </is>
      </c>
      <c r="D3" s="2" t="inlineStr">
        <is>
          <t>stations</t>
        </is>
      </c>
      <c r="E3" s="2" t="inlineStr">
        <is>
          <t>cordell_adds_per_fill_usd</t>
        </is>
      </c>
      <c r="F3" s="2" t="inlineStr">
        <is>
          <t>halden_would_add_per_fill_usd</t>
        </is>
      </c>
    </row>
    <row r="4">
      <c r="A4" t="inlineStr">
        <is>
          <t>core</t>
        </is>
      </c>
      <c r="B4" t="inlineStr">
        <is>
          <t>Louisiana and Mississippi</t>
        </is>
      </c>
      <c r="C4" t="inlineStr">
        <is>
          <t>strong</t>
        </is>
      </c>
      <c r="D4" s="3" t="n">
        <v>1850</v>
      </c>
      <c r="E4" s="3" t="n">
        <v>0.055</v>
      </c>
      <c r="F4" s="3" t="n">
        <v>0.01</v>
      </c>
    </row>
    <row r="5">
      <c r="A5" t="inlineStr">
        <is>
          <t>gulf</t>
        </is>
      </c>
      <c r="B5" t="inlineStr">
        <is>
          <t>Gulf Coast beyond the core</t>
        </is>
      </c>
      <c r="C5" t="inlineStr">
        <is>
          <t>medium</t>
        </is>
      </c>
      <c r="D5" s="3" t="n">
        <v>1400</v>
      </c>
      <c r="E5" s="3" t="n">
        <v>0.015</v>
      </c>
      <c r="F5" s="3" t="n">
        <v>0.045</v>
      </c>
    </row>
    <row r="6">
      <c r="A6" t="inlineStr">
        <is>
          <t>edge</t>
        </is>
      </c>
      <c r="B6" t="inlineStr">
        <is>
          <t>Southeast edge</t>
        </is>
      </c>
      <c r="C6" t="inlineStr">
        <is>
          <t>weak</t>
        </is>
      </c>
      <c r="D6" s="3" t="n">
        <v>1050</v>
      </c>
      <c r="E6" s="3" t="n">
        <v>-0.005</v>
      </c>
      <c r="F6" s="3" t="n">
        <v>0.075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4" customWidth="1" min="1" max="1"/>
    <col width="14" customWidth="1" min="2" max="2"/>
    <col width="60" customWidth="1" min="3" max="3"/>
  </cols>
  <sheetData>
    <row r="1">
      <c r="A1" s="1" t="inlineStr">
        <is>
          <t>What a rebrand costs</t>
        </is>
      </c>
    </row>
    <row r="3">
      <c r="A3" s="2" t="inlineStr">
        <is>
          <t>parameter</t>
        </is>
      </c>
      <c r="B3" s="2" t="inlineStr">
        <is>
          <t>value</t>
        </is>
      </c>
      <c r="C3" s="2" t="inlineStr">
        <is>
          <t>note</t>
        </is>
      </c>
    </row>
    <row r="4">
      <c r="A4" t="inlineStr">
        <is>
          <t>programme_cost_all_stations_musd</t>
        </is>
      </c>
      <c r="B4" s="3" t="n">
        <v>340</v>
      </c>
      <c r="C4" t="inlineStr">
        <is>
          <t>the Halden name on all 4,300 stations</t>
        </is>
      </c>
    </row>
    <row r="5">
      <c r="A5" t="inlineStr">
        <is>
          <t>stations</t>
        </is>
      </c>
      <c r="B5" s="3" t="n">
        <v>4300</v>
      </c>
      <c r="C5" t="inlineStr"/>
    </row>
    <row r="6">
      <c r="A6" t="inlineStr">
        <is>
          <t>fills_per_station_per_year</t>
        </is>
      </c>
      <c r="B6" s="3" t="n">
        <v>180000</v>
      </c>
      <c r="C6" t="inlineStr">
        <is>
          <t>a calibration figure; it scales every payback</t>
        </is>
      </c>
    </row>
    <row r="7">
      <c r="A7" t="inlineStr">
        <is>
          <t>usual_shop_margin_usd_gal</t>
        </is>
      </c>
      <c r="B7" s="3" t="n">
        <v>0.42</v>
      </c>
      <c r="C7" t="inlineStr">
        <is>
          <t>what a brand is worth is scaled by this year's shop margin divided by this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2" customWidth="1" min="1" max="1"/>
    <col width="21" customWidth="1" min="2" max="2"/>
    <col width="54" customWidth="1" min="3" max="3"/>
  </cols>
  <sheetData>
    <row r="1">
      <c r="A1" s="1" t="inlineStr">
        <is>
          <t>This year's shop margin, by what the class did last summer</t>
        </is>
      </c>
    </row>
    <row r="3">
      <c r="A3" s="2" t="inlineStr">
        <is>
          <t>what_the_class_did_last_summer</t>
        </is>
      </c>
      <c r="B3" s="2" t="inlineStr">
        <is>
          <t>shop_margin_usd_gal</t>
        </is>
      </c>
      <c r="C3" s="2" t="inlineStr">
        <is>
          <t>note</t>
        </is>
      </c>
    </row>
    <row r="4">
      <c r="A4" t="inlineStr">
        <is>
          <t>price_war</t>
        </is>
      </c>
      <c r="B4" s="3" t="n">
        <v>0.38</v>
      </c>
      <c r="C4" t="inlineStr">
        <is>
          <t>nearly every chain matched Pelican nearly everywhere</t>
        </is>
      </c>
    </row>
    <row r="5">
      <c r="A5" t="inlineStr">
        <is>
          <t>base</t>
        </is>
      </c>
      <c r="B5" s="3" t="n">
        <v>0.42</v>
      </c>
      <c r="C5" t="inlineStr">
        <is>
          <t>about half matched</t>
        </is>
      </c>
    </row>
    <row r="6">
      <c r="A6" t="inlineStr">
        <is>
          <t>disciplined</t>
        </is>
      </c>
      <c r="B6" s="3" t="n">
        <v>0.45</v>
      </c>
      <c r="C6" t="inlineStr">
        <is>
          <t>most chains held their prices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0" customWidth="1" min="1" max="1"/>
    <col width="14" customWidth="1" min="2" max="2"/>
    <col width="41" customWidth="1" min="3" max="3"/>
  </cols>
  <sheetData>
    <row r="1">
      <c r="A1" s="1" t="inlineStr">
        <is>
          <t>Worked Example — two towns, one new sign</t>
        </is>
      </c>
    </row>
    <row r="2">
      <c r="A2" t="inlineStr">
        <is>
          <t>Town A likes the old name; Town B likes the new one. Same cost per station. Study the method, then do Your Analysis.</t>
        </is>
      </c>
    </row>
    <row r="3">
      <c r="A3" s="2" t="inlineStr">
        <is>
          <t>parameter</t>
        </is>
      </c>
      <c r="B3" s="2" t="inlineStr">
        <is>
          <t>value</t>
        </is>
      </c>
      <c r="C3" s="2" t="inlineStr">
        <is>
          <t>note</t>
        </is>
      </c>
    </row>
    <row r="4">
      <c r="A4" t="inlineStr">
        <is>
          <t>town_a_halden_minus_cordell_per_fill</t>
        </is>
      </c>
      <c r="B4" s="3" t="n">
        <v>-0.03</v>
      </c>
      <c r="C4" t="inlineStr">
        <is>
          <t>a town where the old name is worth more</t>
        </is>
      </c>
    </row>
    <row r="5">
      <c r="A5" t="inlineStr">
        <is>
          <t>town_b_halden_minus_cordell_per_fill</t>
        </is>
      </c>
      <c r="B5" s="3" t="n">
        <v>0.06</v>
      </c>
      <c r="C5" t="inlineStr">
        <is>
          <t>a town where the new name is worth more</t>
        </is>
      </c>
    </row>
    <row r="6">
      <c r="A6" t="inlineStr">
        <is>
          <t>stations_each</t>
        </is>
      </c>
      <c r="B6" s="3" t="n">
        <v>100</v>
      </c>
      <c r="C6" t="inlineStr"/>
    </row>
    <row r="7">
      <c r="A7" t="inlineStr">
        <is>
          <t>cost_per_station_usd</t>
        </is>
      </c>
      <c r="B7" s="3" t="n">
        <v>80000</v>
      </c>
      <c r="C7" t="inlineStr"/>
    </row>
    <row r="8">
      <c r="A8" t="inlineStr">
        <is>
          <t>fills_per_station_per_year</t>
        </is>
      </c>
      <c r="B8" s="3" t="n">
        <v>150000</v>
      </c>
      <c r="C8" t="inlineStr"/>
    </row>
    <row r="10">
      <c r="A10" s="2" t="inlineStr">
        <is>
          <t>Town A: gain a year ($M)</t>
        </is>
      </c>
      <c r="B10">
        <f>B4*B6*B8/1000000</f>
        <v/>
      </c>
    </row>
    <row r="11">
      <c r="A11" s="2" t="inlineStr">
        <is>
          <t>Town B: gain a year ($M)</t>
        </is>
      </c>
      <c r="B11">
        <f>B5*B6*B8/1000000</f>
        <v/>
      </c>
    </row>
    <row r="12">
      <c r="A12" s="2" t="inlineStr">
        <is>
          <t>Cost to repaint either town ($M)</t>
        </is>
      </c>
      <c r="B12">
        <f>B6*B7/1000000</f>
        <v/>
      </c>
    </row>
    <row r="13">
      <c r="A13" s="2" t="inlineStr">
        <is>
          <t>Town B: years to pay back</t>
        </is>
      </c>
      <c r="B13">
        <f>B12/B11</f>
        <v/>
      </c>
    </row>
    <row r="15">
      <c r="A15" t="inlineStr">
        <is>
          <t>Town A loses $0.45M a year under the new name, so you never repaint it. Town B earns $0.9M a year against $8M of paint, about nine years. Same sign, two answers.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72" customWidth="1" min="1" max="1"/>
    <col width="30" customWidth="1" min="2" max="2"/>
    <col width="30" customWidth="1" min="3" max="3"/>
    <col width="30" customWidth="1" min="4" max="4"/>
    <col width="30" customWidth="1" min="5" max="5"/>
    <col width="30" customWidth="1" min="6" max="6"/>
    <col width="30" customWidth="1" min="7" max="7"/>
  </cols>
  <sheetData>
    <row r="1">
      <c r="A1" s="1" t="inlineStr">
        <is>
          <t>Your Analysis — fill the YELLOW cells</t>
        </is>
      </c>
    </row>
    <row r="2">
      <c r="A2" t="inlineStr">
        <is>
          <t>Regions are on Data — Regions rows 4 to 6 (stations in D, Cordell per fill in E, Halden per fill in F). Cost and fills are on Data — Cost column B. This year's shop margin is on Data — Shop margin.</t>
        </is>
      </c>
    </row>
    <row r="4">
      <c r="A4" t="inlineStr">
        <is>
          <t>Your class's shop margin this year ($ a gallon):</t>
        </is>
      </c>
      <c r="B4" s="4" t="n"/>
    </row>
    <row r="6">
      <c r="A6" s="2" t="inlineStr">
        <is>
          <t>Region</t>
        </is>
      </c>
      <c r="B6" s="2" t="inlineStr">
        <is>
          <t>Halden minus Cordell, per fill ($)</t>
        </is>
      </c>
      <c r="C6" s="2" t="inlineStr">
        <is>
          <t>Gain a year at the usual margin ($M)</t>
        </is>
      </c>
      <c r="D6" s="2" t="inlineStr">
        <is>
          <t>Gain a year at your margin ($M)</t>
        </is>
      </c>
      <c r="E6" s="2" t="inlineStr">
        <is>
          <t>Cost to repaint ($M)</t>
        </is>
      </c>
      <c r="F6" s="2" t="inlineStr">
        <is>
          <t>Years to pay back</t>
        </is>
      </c>
      <c r="G6" s="2" t="inlineStr">
        <is>
          <t>Your answer (keep / go Halden)</t>
        </is>
      </c>
    </row>
    <row r="7">
      <c r="A7" t="inlineStr">
        <is>
          <t>Louisiana and Mississippi</t>
        </is>
      </c>
      <c r="B7" s="4" t="n"/>
      <c r="C7" s="4" t="n"/>
      <c r="D7" s="4" t="n"/>
      <c r="E7" s="4" t="n"/>
      <c r="F7" s="4" t="n"/>
      <c r="G7" s="4" t="n"/>
    </row>
    <row r="8">
      <c r="A8" t="inlineStr">
        <is>
          <t>Gulf Coast beyond the core</t>
        </is>
      </c>
      <c r="B8" s="4" t="n"/>
      <c r="C8" s="4" t="n"/>
      <c r="D8" s="4" t="n"/>
      <c r="E8" s="4" t="n"/>
      <c r="F8" s="4" t="n"/>
      <c r="G8" s="4" t="n"/>
    </row>
    <row r="9">
      <c r="A9" t="inlineStr">
        <is>
          <t>Southeast edge</t>
        </is>
      </c>
      <c r="B9" s="4" t="n"/>
      <c r="C9" s="4" t="n"/>
      <c r="D9" s="4" t="n"/>
      <c r="E9" s="4" t="n"/>
      <c r="F9" s="4" t="n"/>
      <c r="G9" s="4" t="n"/>
    </row>
    <row r="11">
      <c r="A11" t="inlineStr">
        <is>
          <t>Gain a year = (Halden − Cordell per fill) × stations × fills per station × (your margin ÷ the usual margin) ÷ 1,000,000. Cost = stations × programme cost ÷ 4,300.</t>
        </is>
      </c>
    </row>
    <row r="13">
      <c r="A13" t="inlineStr">
        <is>
          <t>All three regions together: gain a year ($M)</t>
        </is>
      </c>
      <c r="B13" s="4" t="n"/>
    </row>
    <row r="14">
      <c r="A14" t="inlineStr">
        <is>
          <t>The regions where Halden earns more than Cordell, together: gain a year ($M)</t>
        </is>
      </c>
      <c r="B14" s="4" t="n"/>
    </row>
    <row r="15">
      <c r="A15" t="inlineStr">
        <is>
          <t>Why is the second number bigger than the first?</t>
        </is>
      </c>
      <c r="B15" s="4" t="n"/>
    </row>
    <row r="17">
      <c r="A17" t="inlineStr">
        <is>
          <t>What does the Cordell name itself earn Halden each year in the heartland, compared with a Halden sign? Is that an asset? Where is it on the balance sheet?</t>
        </is>
      </c>
      <c r="B1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2026-10-10T13:10:52Z</dcterms:created>
  <dcterms:modified xmlns:dcterms="http://purl.org/dc/terms/" xmlns:xsi="http://www.w3.org/2001/XMLSchema-instance" xsi:type="dcterms:W3CDTF">2026-10-10T13:10:52Z</dcterms:modified>
</cp:coreProperties>
</file>