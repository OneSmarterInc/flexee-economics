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 Downturn" sheetId="2" state="visible" r:id="rId2"/>
    <sheet xmlns:r="http://schemas.openxmlformats.org/officeDocument/2006/relationships" name="Data — Products" sheetId="3" state="visible" r:id="rId3"/>
    <sheet xmlns:r="http://schemas.openxmlformats.org/officeDocument/2006/relationships" name="Data — Refineries" sheetId="4" state="visible" r:id="rId4"/>
    <sheet xmlns:r="http://schemas.openxmlformats.org/officeDocument/2006/relationships" name="Data — What comes due" sheetId="5" state="visible" r:id="rId5"/>
    <sheet xmlns:r="http://schemas.openxmlformats.org/officeDocument/2006/relationships" name="Worked Example" sheetId="6" state="visible" r:id="rId6"/>
    <sheet xmlns:r="http://schemas.openxmlformats.org/officeDocument/2006/relationships" name="Your Analysi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color rgb="001F4E79"/>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Halden Energy — Quarter 10: the economy turns</t>
        </is>
      </c>
    </row>
    <row r="2">
      <c r="A2" t="inlineStr"/>
    </row>
    <row r="3">
      <c r="A3" t="inlineStr">
        <is>
          <t>The recession arrived in March. The economy is shrinking about 3%, oil has fallen to $62 and every refining margin has narrowed. There is nothing new to decide. Every decision you have already made is the decision.</t>
        </is>
      </c>
    </row>
    <row r="4">
      <c r="A4" t="inlineStr">
        <is>
          <t>A recession is uneven. It hits each product by how far people can do without it, and so it hits each refinery by what it makes. Trace the demand product by product, then refinery by refinery.</t>
        </is>
      </c>
    </row>
    <row r="5">
      <c r="A5" t="inlineStr">
        <is>
          <t>Five earlier choices come due this quarter. Work out which of yours tie your hands and which leave you free.</t>
        </is>
      </c>
    </row>
    <row r="6">
      <c r="A6" t="inlineStr"/>
    </row>
    <row r="7">
      <c r="A7" s="2" t="inlineStr">
        <is>
          <t>Tabs:</t>
        </is>
      </c>
    </row>
    <row r="8">
      <c r="A8" t="inlineStr">
        <is>
          <t xml:space="preserve">  Data — Downturn: how far the economy shrinks, and this quarter's prices against last quarter's.</t>
        </is>
      </c>
    </row>
    <row r="9">
      <c r="A9" t="inlineStr">
        <is>
          <t xml:space="preserve">  Data — Products: how each product's demand follows the economy.</t>
        </is>
      </c>
    </row>
    <row r="10">
      <c r="A10" t="inlineStr">
        <is>
          <t xml:space="preserve">  Data — Refineries: what each refinery makes, by product.</t>
        </is>
      </c>
    </row>
    <row r="11">
      <c r="A11" t="inlineStr">
        <is>
          <t xml:space="preserve">  Data — What comes due: the five earlier choices that bite now, and where to look up your own.</t>
        </is>
      </c>
    </row>
    <row r="12">
      <c r="A12" t="inlineStr">
        <is>
          <t xml:space="preserve">  Worked Example: one refinery, fully traced.</t>
        </is>
      </c>
    </row>
    <row r="13">
      <c r="A13" t="inlineStr">
        <is>
          <t xml:space="preserve">  Your Analysis: fill in the yellow cells.</t>
        </is>
      </c>
    </row>
    <row r="14">
      <c r="A14" t="inlineStr"/>
    </row>
    <row r="15">
      <c r="A15" t="inlineStr">
        <is>
          <t>Blue = data. Black = formula. Yellow = you fill 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4" customWidth="1" min="1" max="1"/>
    <col width="14" customWidth="1" min="2" max="2"/>
    <col width="48" customWidth="1" min="3" max="3"/>
  </cols>
  <sheetData>
    <row r="1">
      <c r="A1" s="1" t="inlineStr">
        <is>
          <t>The downturn</t>
        </is>
      </c>
    </row>
    <row r="3">
      <c r="A3" s="2" t="inlineStr">
        <is>
          <t>parameter</t>
        </is>
      </c>
      <c r="B3" s="2" t="inlineStr">
        <is>
          <t>value</t>
        </is>
      </c>
      <c r="C3" s="2" t="inlineStr">
        <is>
          <t>note</t>
        </is>
      </c>
    </row>
    <row r="4">
      <c r="A4" t="inlineStr">
        <is>
          <t>economy_change</t>
        </is>
      </c>
      <c r="B4" s="3" t="n">
        <v>-0.03</v>
      </c>
      <c r="C4" t="inlineStr">
        <is>
          <t>how far the economy shrinks this year</t>
        </is>
      </c>
    </row>
    <row r="5">
      <c r="A5" t="inlineStr">
        <is>
          <t>oil_price_usd_bbl</t>
        </is>
      </c>
      <c r="B5" s="3" t="n">
        <v>62</v>
      </c>
      <c r="C5" t="inlineStr">
        <is>
          <t>last quarter 79.0</t>
        </is>
      </c>
    </row>
    <row r="6">
      <c r="A6" t="inlineStr">
        <is>
          <t>gulf_coast_margin_usd_bbl</t>
        </is>
      </c>
      <c r="B6" s="3" t="n">
        <v>17.5</v>
      </c>
      <c r="C6" t="inlineStr">
        <is>
          <t>last quarter 20.8</t>
        </is>
      </c>
    </row>
    <row r="7">
      <c r="A7" t="inlineStr">
        <is>
          <t>european_margin_usd_bbl</t>
        </is>
      </c>
      <c r="B7" s="3" t="n">
        <v>2.9</v>
      </c>
      <c r="C7" t="inlineStr">
        <is>
          <t>last quarter 4.8</t>
        </is>
      </c>
    </row>
    <row r="8">
      <c r="A8" t="inlineStr">
        <is>
          <t>asian_margin_usd_bbl</t>
        </is>
      </c>
      <c r="B8" s="3" t="n">
        <v>9.800000000000001</v>
      </c>
      <c r="C8" t="inlineStr">
        <is>
          <t>last quarter 12.3</t>
        </is>
      </c>
    </row>
    <row r="9">
      <c r="A9" t="inlineStr">
        <is>
          <t>rotterdam_shutdown_point_usd_bbl</t>
        </is>
      </c>
      <c r="B9" s="3" t="n">
        <v>2.6</v>
      </c>
      <c r="C9" t="inlineStr">
        <is>
          <t>below this, pausing Rotterdam beats running it</t>
        </is>
      </c>
    </row>
    <row r="10">
      <c r="A10" t="inlineStr">
        <is>
          <t>rotterdam_restart_cost_musd</t>
        </is>
      </c>
      <c r="B10" s="3" t="n">
        <v>85</v>
      </c>
      <c r="C10" t="inlineStr">
        <is>
          <t>what it costs to restart after a pause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4" customWidth="1" min="1" max="1"/>
    <col width="32" customWidth="1" min="2" max="2"/>
    <col width="58" customWidth="1" min="3" max="3"/>
  </cols>
  <sheetData>
    <row r="1">
      <c r="A1" s="1" t="inlineStr">
        <is>
          <t>How each product's demand follows the economy</t>
        </is>
      </c>
    </row>
    <row r="3">
      <c r="A3" s="2" t="inlineStr">
        <is>
          <t>product</t>
        </is>
      </c>
      <c r="B3" s="2" t="inlineStr">
        <is>
          <t>how_demand_follows_the_economy</t>
        </is>
      </c>
      <c r="C3" s="2" t="inlineStr">
        <is>
          <t>note</t>
        </is>
      </c>
    </row>
    <row r="4">
      <c r="A4" t="inlineStr">
        <is>
          <t>gasoline</t>
        </is>
      </c>
      <c r="B4" s="3" t="n">
        <v>0.35</v>
      </c>
      <c r="C4" t="inlineStr">
        <is>
          <t>Wk10: people still drive to work</t>
        </is>
      </c>
    </row>
    <row r="5">
      <c r="A5" t="inlineStr">
        <is>
          <t>diesel</t>
        </is>
      </c>
      <c r="B5" s="3" t="n">
        <v>0.85</v>
      </c>
      <c r="C5" t="inlineStr">
        <is>
          <t>Wk10: freight falls with the economy</t>
        </is>
      </c>
    </row>
    <row r="6">
      <c r="A6" t="inlineStr">
        <is>
          <t>jet</t>
        </is>
      </c>
      <c r="B6" s="3" t="n">
        <v>1.6</v>
      </c>
      <c r="C6" t="inlineStr">
        <is>
          <t>Wk10: flying is the first thing people and companies cut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s>
  <sheetData>
    <row r="1">
      <c r="A1" s="1" t="inlineStr">
        <is>
          <t>What each refinery makes (share of each barrel)</t>
        </is>
      </c>
    </row>
    <row r="3">
      <c r="A3" s="2" t="inlineStr">
        <is>
          <t>refinery</t>
        </is>
      </c>
      <c r="B3" s="2" t="inlineStr">
        <is>
          <t>label</t>
        </is>
      </c>
      <c r="C3" s="2" t="inlineStr">
        <is>
          <t>gasoline</t>
        </is>
      </c>
      <c r="D3" s="2" t="inlineStr">
        <is>
          <t>diesel</t>
        </is>
      </c>
      <c r="E3" s="2" t="inlineStr">
        <is>
          <t>jet</t>
        </is>
      </c>
      <c r="F3" s="2" t="inlineStr">
        <is>
          <t>other</t>
        </is>
      </c>
    </row>
    <row r="4">
      <c r="A4" t="inlineStr">
        <is>
          <t>br</t>
        </is>
      </c>
      <c r="B4" t="inlineStr">
        <is>
          <t>Baton Rouge</t>
        </is>
      </c>
      <c r="C4" s="3" t="n">
        <v>0.48</v>
      </c>
      <c r="D4" s="3" t="n">
        <v>0.32</v>
      </c>
      <c r="E4" s="3" t="n">
        <v>0.14</v>
      </c>
      <c r="F4" s="3" t="n">
        <v>0.06</v>
      </c>
    </row>
    <row r="5">
      <c r="A5" t="inlineStr">
        <is>
          <t>rot</t>
        </is>
      </c>
      <c r="B5" t="inlineStr">
        <is>
          <t>Rotterdam</t>
        </is>
      </c>
      <c r="C5" s="3" t="n">
        <v>0.32</v>
      </c>
      <c r="D5" s="3" t="n">
        <v>0.44</v>
      </c>
      <c r="E5" s="3" t="n">
        <v>0.16</v>
      </c>
      <c r="F5" s="3" t="n">
        <v>0.08</v>
      </c>
    </row>
    <row r="6">
      <c r="A6" t="inlineStr">
        <is>
          <t>sg</t>
        </is>
      </c>
      <c r="B6" t="inlineStr">
        <is>
          <t>Singapore</t>
        </is>
      </c>
      <c r="C6" s="3" t="n">
        <v>0.3</v>
      </c>
      <c r="D6" s="3" t="n">
        <v>0.34</v>
      </c>
      <c r="E6" s="3" t="n">
        <v>0.3</v>
      </c>
      <c r="F6" s="3" t="n">
        <v>0.06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0" customWidth="1" min="1" max="1"/>
    <col width="24" customWidth="1" min="2" max="2"/>
    <col width="70" customWidth="1" min="3" max="3"/>
    <col width="70" customWidth="1" min="4" max="4"/>
  </cols>
  <sheetData>
    <row r="1">
      <c r="A1" s="1" t="inlineStr">
        <is>
          <t>Five earlier choices that come due this quarter</t>
        </is>
      </c>
    </row>
    <row r="3">
      <c r="A3" s="2" t="inlineStr">
        <is>
          <t>thread</t>
        </is>
      </c>
      <c r="B3" s="2" t="inlineStr">
        <is>
          <t>from</t>
        </is>
      </c>
      <c r="C3" s="2" t="inlineStr">
        <is>
          <t>what_it_does_now</t>
        </is>
      </c>
      <c r="D3" s="2" t="inlineStr">
        <is>
          <t>how_to_check_your_own</t>
        </is>
      </c>
    </row>
    <row r="4">
      <c r="A4" t="inlineStr">
        <is>
          <t>Projects under way</t>
        </is>
      </c>
      <c r="B4" t="inlineStr">
        <is>
          <t>Quarter 6</t>
        </is>
      </c>
      <c r="C4" t="inlineStr">
        <is>
          <t>They keep paying their quarterly share, and the debt you took on to build them is still there. Nothing can be cancelled.</t>
        </is>
      </c>
      <c r="D4" t="inlineStr">
        <is>
          <t>Your Profit and loss page: Big projects paying back, and net debt under Cash</t>
        </is>
      </c>
    </row>
    <row r="5">
      <c r="A5" t="inlineStr">
        <is>
          <t>Hedges</t>
        </is>
      </c>
      <c r="B5" t="inlineStr">
        <is>
          <t>Quarter 9</t>
        </is>
      </c>
      <c r="C5" t="inlineStr">
        <is>
          <t>Any crude sold forward last quarter settles now: at $79 against $62, a hedge pays. Euros and kroner likewise at this quarter's rates.</t>
        </is>
      </c>
      <c r="D5" t="inlineStr">
        <is>
          <t>Your Trading &amp; finance page shows last quarter's hedges</t>
        </is>
      </c>
    </row>
    <row r="6">
      <c r="A6" t="inlineStr">
        <is>
          <t>The crude price</t>
        </is>
      </c>
      <c r="B6" t="inlineStr">
        <is>
          <t>Quarter 4</t>
        </is>
      </c>
      <c r="C6" t="inlineStr">
        <is>
          <t>If it left Baton Rouge reporting a margin well above target (at cost, or well below market), Marcus has cover to resist a run cut: he delivers half of what you ask.</t>
        </is>
      </c>
      <c r="D6" t="inlineStr">
        <is>
          <t>Your Quarter 4 Trading &amp; finance page</t>
        </is>
      </c>
    </row>
    <row r="7">
      <c r="A7" t="inlineStr">
        <is>
          <t>Straits Pacific</t>
        </is>
      </c>
      <c r="B7" t="inlineStr">
        <is>
          <t>The last four quarters</t>
        </is>
      </c>
      <c r="C7" t="inlineStr">
        <is>
          <t>If you asked Singapore for more than they allow (above 95%) in two or more of the last four quarters, they run it at 80% this quarter whatever you ask.</t>
        </is>
      </c>
      <c r="D7" t="inlineStr">
        <is>
          <t>Your Refineries page, Quarters 6 to 9</t>
        </is>
      </c>
    </row>
    <row r="8">
      <c r="A8" t="inlineStr">
        <is>
          <t>Vienna</t>
        </is>
      </c>
      <c r="B8" t="inlineStr">
        <is>
          <t>Quarter 8</t>
        </is>
      </c>
      <c r="C8" t="inlineStr">
        <is>
          <t>The crude bought ahead has been used. Its gain or loss is already in your debt.</t>
        </is>
      </c>
      <c r="D8" t="inlineStr">
        <is>
          <t>Your Quarter 8 Profit and loss page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40" customWidth="1" min="1" max="1"/>
    <col width="28" customWidth="1" min="2" max="2"/>
    <col width="28" customWidth="1" min="3" max="3"/>
    <col width="28" customWidth="1" min="4" max="4"/>
    <col width="28" customWidth="1" min="5" max="5"/>
  </cols>
  <sheetData>
    <row r="1">
      <c r="A1" s="1" t="inlineStr">
        <is>
          <t>Worked Example — tracing the downturn through one refinery</t>
        </is>
      </c>
    </row>
    <row r="2">
      <c r="A2" t="inlineStr">
        <is>
          <t>Demand for a product falls by (how it follows the economy) × (how far the economy shrinks). A refinery's runs fall by its product mix, product by product.</t>
        </is>
      </c>
    </row>
    <row r="4">
      <c r="A4" s="2" t="inlineStr">
        <is>
          <t>Product</t>
        </is>
      </c>
      <c r="B4" s="2" t="inlineStr">
        <is>
          <t>Follows the economy</t>
        </is>
      </c>
      <c r="C4" s="2" t="inlineStr">
        <is>
          <t>Demand change</t>
        </is>
      </c>
      <c r="D4" s="2" t="inlineStr">
        <is>
          <t>Share of a Baton Rouge barrel</t>
        </is>
      </c>
      <c r="E4" s="2" t="inlineStr">
        <is>
          <t>Contribution to Baton Rouge</t>
        </is>
      </c>
    </row>
    <row r="5">
      <c r="A5" t="inlineStr">
        <is>
          <t>gasoline</t>
        </is>
      </c>
      <c r="B5">
        <f>'Data — Products'!B4</f>
        <v/>
      </c>
      <c r="C5">
        <f>B5*'Data — Downturn'!B4</f>
        <v/>
      </c>
      <c r="D5">
        <f>'Data — Refineries'!C4</f>
        <v/>
      </c>
      <c r="E5">
        <f>C5*D5</f>
        <v/>
      </c>
    </row>
    <row r="6">
      <c r="A6" t="inlineStr">
        <is>
          <t>diesel</t>
        </is>
      </c>
      <c r="B6">
        <f>'Data — Products'!B5</f>
        <v/>
      </c>
      <c r="C6">
        <f>B6*'Data — Downturn'!B4</f>
        <v/>
      </c>
      <c r="D6">
        <f>'Data — Refineries'!D4</f>
        <v/>
      </c>
      <c r="E6">
        <f>C6*D6</f>
        <v/>
      </c>
    </row>
    <row r="7">
      <c r="A7" t="inlineStr">
        <is>
          <t>jet</t>
        </is>
      </c>
      <c r="B7">
        <f>'Data — Products'!B6</f>
        <v/>
      </c>
      <c r="C7">
        <f>B7*'Data — Downturn'!B4</f>
        <v/>
      </c>
      <c r="D7">
        <f>'Data — Refineries'!E4</f>
        <v/>
      </c>
      <c r="E7">
        <f>C7*D7</f>
        <v/>
      </c>
    </row>
    <row r="8">
      <c r="A8" s="2" t="inlineStr">
        <is>
          <t>Baton Rouge runs change by</t>
        </is>
      </c>
      <c r="E8">
        <f>SUM(E5:E7)</f>
        <v/>
      </c>
    </row>
    <row r="10">
      <c r="A10" t="inlineStr">
        <is>
          <t>Baton Rouge makes mostly gasoline, the product people give up last, so its runs fall about 2%. Do the same for Rotterdam and Singapore and you will see why a jet-heavy plant has the worse spring.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70" customWidth="1" min="1" max="1"/>
    <col width="34" customWidth="1" min="2" max="2"/>
    <col width="34" customWidth="1" min="3" max="3"/>
    <col width="34" customWidth="1" min="4" max="4"/>
  </cols>
  <sheetData>
    <row r="1">
      <c r="A1" s="1" t="inlineStr">
        <is>
          <t>Your Analysis — fill the YELLOW cells</t>
        </is>
      </c>
    </row>
    <row r="3">
      <c r="A3" s="2" t="inlineStr">
        <is>
          <t>Part A: how far each refinery's runs fall</t>
        </is>
      </c>
    </row>
    <row r="4">
      <c r="A4" s="2" t="inlineStr">
        <is>
          <t>Refinery</t>
        </is>
      </c>
      <c r="B4" s="2" t="inlineStr">
        <is>
          <t>Runs change (%)</t>
        </is>
      </c>
      <c r="C4" s="2" t="inlineStr">
        <is>
          <t>Why</t>
        </is>
      </c>
    </row>
    <row r="5">
      <c r="A5" t="inlineStr">
        <is>
          <t>Baton Rouge</t>
        </is>
      </c>
      <c r="B5" s="4" t="n"/>
      <c r="C5" s="4" t="n"/>
    </row>
    <row r="6">
      <c r="A6" t="inlineStr">
        <is>
          <t>Rotterdam</t>
        </is>
      </c>
      <c r="B6" s="4" t="n"/>
      <c r="C6" s="4" t="n"/>
    </row>
    <row r="7">
      <c r="A7" t="inlineStr">
        <is>
          <t>Singapore</t>
        </is>
      </c>
      <c r="B7" s="4" t="n"/>
      <c r="C7" s="4" t="n"/>
    </row>
    <row r="9">
      <c r="A9" s="2" t="inlineStr">
        <is>
          <t>Part B: Rotterdam</t>
        </is>
      </c>
    </row>
    <row r="10">
      <c r="A10" t="inlineStr">
        <is>
          <t>Europe's margin this quarter, against the shutdown point. Run, pause, or close? What does a pause cost to undo?</t>
        </is>
      </c>
      <c r="B10" s="4" t="n"/>
    </row>
    <row r="12">
      <c r="A12" s="2" t="inlineStr">
        <is>
          <t>Part C: which of your earlier choices bind now (use Data — What comes due and your own earlier pages)</t>
        </is>
      </c>
    </row>
    <row r="13">
      <c r="A13" s="2" t="inlineStr">
        <is>
          <t>Thread</t>
        </is>
      </c>
      <c r="B13" s="2" t="inlineStr">
        <is>
          <t>Your position</t>
        </is>
      </c>
      <c r="C13" s="2" t="inlineStr">
        <is>
          <t>Binds this quarter? (yes / no)</t>
        </is>
      </c>
      <c r="D13" s="2" t="inlineStr">
        <is>
          <t>What it does to you now</t>
        </is>
      </c>
    </row>
    <row r="14">
      <c r="A14" t="inlineStr">
        <is>
          <t>Projects under way</t>
        </is>
      </c>
      <c r="B14" s="4" t="n"/>
      <c r="C14" s="4" t="n"/>
      <c r="D14" s="4" t="n"/>
    </row>
    <row r="15">
      <c r="A15" t="inlineStr">
        <is>
          <t>Hedges set last quarter</t>
        </is>
      </c>
      <c r="B15" s="4" t="n"/>
      <c r="C15" s="4" t="n"/>
      <c r="D15" s="4" t="n"/>
    </row>
    <row r="16">
      <c r="A16" t="inlineStr">
        <is>
          <t>The crude price from Quarter 4</t>
        </is>
      </c>
      <c r="B16" s="4" t="n"/>
      <c r="C16" s="4" t="n"/>
      <c r="D16" s="4" t="n"/>
    </row>
    <row r="17">
      <c r="A17" t="inlineStr">
        <is>
          <t>Straits Pacific</t>
        </is>
      </c>
      <c r="B17" s="4" t="n"/>
      <c r="C17" s="4" t="n"/>
      <c r="D17" s="4" t="n"/>
    </row>
    <row r="18">
      <c r="A18" t="inlineStr">
        <is>
          <t>Vienna</t>
        </is>
      </c>
      <c r="B18" s="4" t="n"/>
      <c r="C18" s="4" t="n"/>
      <c r="D18" s="4" t="n"/>
    </row>
    <row r="20">
      <c r="A20" s="2" t="inlineStr">
        <is>
          <t>Part D: what you set this quarter, and why</t>
        </is>
      </c>
    </row>
    <row r="21">
      <c r="A21" t="inlineStr">
        <is>
          <t>Rigs, run rates, Singapore request, hedges, prices: what changes and what stays, and what in your own history decided it</t>
        </is>
      </c>
      <c r="B21"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2026-10-10T13:30:32Z</dcterms:created>
  <dcterms:modified xmlns:dcterms="http://purl.org/dc/terms/" xmlns:xsi="http://www.w3.org/2001/XMLSchema-instance" xsi:type="dcterms:W3CDTF">2026-10-10T13:30:32Z</dcterms:modified>
</cp:coreProperties>
</file>