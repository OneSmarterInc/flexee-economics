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ta — Scenarios &amp; Propagation" sheetId="2" state="visible" r:id="rId4"/>
    <sheet name="Data — Compliance" sheetId="3" state="visible" r:id="rId5"/>
    <sheet name="Worked Example" sheetId="4" state="visible" r:id="rId6"/>
    <sheet name="Your Analysi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Jet-heavy demand collapses in recession, but here the shock is a PRICE move — watch how little retail volume moves.</t>
        </r>
      </text>
    </comment>
  </commentList>
</comments>
</file>

<file path=xl/sharedStrings.xml><?xml version="1.0" encoding="utf-8"?>
<sst xmlns="http://schemas.openxmlformats.org/spreadsheetml/2006/main" count="83" uniqueCount="71">
  <si>
    <t xml:space="preserve">Halden Energy — Week 8: OPEC+ and Integrated Response</t>
  </si>
  <si>
    <t xml:space="preserve">OPEC+ announces a production cut. Its value depends entirely on whether it holds.</t>
  </si>
  <si>
    <t xml:space="preserve">You estimate the probability it holds from compliance history, then position across segments.</t>
  </si>
  <si>
    <t xml:space="preserve">The integration lesson: one shock pushes four segments in different directions.</t>
  </si>
  <si>
    <t xml:space="preserve">If the cut holds, crude rises — upstream celebrates, refining margins compress, retail barely moves.</t>
  </si>
  <si>
    <t xml:space="preserve">The right answer for Halden is NOT the sum of the right answers for its segments.</t>
  </si>
  <si>
    <t xml:space="preserve">Tabs:</t>
  </si>
  <si>
    <t xml:space="preserve">  Data — Scenarios &amp; Propagation</t>
  </si>
  <si>
    <t xml:space="preserve">The three scenarios, the propagation coefficients, the baseline.</t>
  </si>
  <si>
    <t xml:space="preserve">  Data — Compliance</t>
  </si>
  <si>
    <t xml:space="preserve">OPEC compliance history — the basis for your probability estimate.</t>
  </si>
  <si>
    <t xml:space="preserve">  Worked Example</t>
  </si>
  <si>
    <t xml:space="preserve">Expected-value-under-uncertainty on a prior shock, fully solved.</t>
  </si>
  <si>
    <t xml:space="preserve">  Your Analysis</t>
  </si>
  <si>
    <t xml:space="preserve">Estimate probabilities, propagate to each segment, position. Fill yellow.</t>
  </si>
  <si>
    <t xml:space="preserve">Legend: blue = input, black = formula, yellow = you fill in.</t>
  </si>
  <si>
    <t xml:space="preserve">OPEC scenarios, propagation coefficients, baseline</t>
  </si>
  <si>
    <t xml:space="preserve">Scenarios (you estimate the probabilities yourself; these are the resolved states):</t>
  </si>
  <si>
    <t xml:space="preserve">Scenario</t>
  </si>
  <si>
    <t xml:space="preserve">Sim probability</t>
  </si>
  <si>
    <t xml:space="preserve">WTI resolved</t>
  </si>
  <si>
    <t xml:space="preserve">Delta WTI</t>
  </si>
  <si>
    <t xml:space="preserve">holds_full</t>
  </si>
  <si>
    <t xml:space="preserve">holds_partial</t>
  </si>
  <si>
    <t xml:space="preserve">fails</t>
  </si>
  <si>
    <t xml:space="preserve">Propagation coefficients (how a $1 WTI move reaches each segment):</t>
  </si>
  <si>
    <t xml:space="preserve">Channel</t>
  </si>
  <si>
    <t xml:space="preserve">Coefficient</t>
  </si>
  <si>
    <t xml:space="preserve">upstream_realization</t>
  </si>
  <si>
    <t xml:space="preserve">refining_crack</t>
  </si>
  <si>
    <t xml:space="preserve">retail_passthrough</t>
  </si>
  <si>
    <t xml:space="preserve">retail_demand_elasticity</t>
  </si>
  <si>
    <t xml:space="preserve">Baseline:</t>
  </si>
  <si>
    <t xml:space="preserve">wti_pre</t>
  </si>
  <si>
    <t xml:space="preserve">brent_pre</t>
  </si>
  <si>
    <t xml:space="preserve">crack_base</t>
  </si>
  <si>
    <t xml:space="preserve">pump_base</t>
  </si>
  <si>
    <t xml:space="preserve">OPEC compliance history</t>
  </si>
  <si>
    <t xml:space="preserve">Compliance is higher when the cut is deep and the market already tight; it collapses when members face fiscal pressure to cheat.</t>
  </si>
  <si>
    <t xml:space="preserve">Episode</t>
  </si>
  <si>
    <t xml:space="preserve">Announced cut (mb/d)</t>
  </si>
  <si>
    <t xml:space="preserve">Delivered (mb/d)</t>
  </si>
  <si>
    <t xml:space="preserve">Compliance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</si>
  <si>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</si>
  <si>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</si>
  <si>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</si>
  <si>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</si>
  <si>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</si>
  <si>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Worked Example — expected value under uncertainty (prior shock). Study, then do Your Analysis.</t>
  </si>
  <si>
    <t xml:space="preserve">Combine a probability estimate with the propagation coefficients to get an expected segment impact.</t>
  </si>
  <si>
    <t xml:space="preserve">Probability</t>
  </si>
  <si>
    <t xml:space="preserve">Upstream/bbl</t>
  </si>
  <si>
    <t xml:space="preserve">Crack</t>
  </si>
  <si>
    <t xml:space="preserve">Prob x Upstream</t>
  </si>
  <si>
    <t xml:space="preserve">up</t>
  </si>
  <si>
    <t xml:space="preserve">flat</t>
  </si>
  <si>
    <t xml:space="preserve">down</t>
  </si>
  <si>
    <t xml:space="preserve">Expected upstream impact (sum):</t>
  </si>
  <si>
    <t xml:space="preserve">Note: the expected value weights each scenario. But watch the downside scenario separately — a large adverse case can matter more than its probability suggests.</t>
  </si>
  <si>
    <t xml:space="preserve">Your Analysis — estimate, propagate, position. Fill the YELLOW cells.</t>
  </si>
  <si>
    <t xml:space="preserve">Estimate the probability of each scenario from the compliance history, then propagate to each segment.</t>
  </si>
  <si>
    <t xml:space="preserve">Part A — your probability estimate (must sum to 100%)</t>
  </si>
  <si>
    <t xml:space="preserve">Your probability</t>
  </si>
  <si>
    <t xml:space="preserve">Sum (should be 100%)</t>
  </si>
  <si>
    <t xml:space="preserve">Part B — propagate to each segment under each scenario (fill yellow)</t>
  </si>
  <si>
    <t xml:space="preserve">Retail vol %</t>
  </si>
  <si>
    <t xml:space="preserve">(Upstream = dWTI x 1.0; Crack = 21.50 + dWTI x -0.35; Retail vol = -0.05 x (0.60 x dWTI/42/3.20).)</t>
  </si>
  <si>
    <t xml:space="preserve">Part C — the integration question (fill yellow):</t>
  </si>
  <si>
    <t xml:space="preserve">Which segment WANTS the cut to hold? -&gt;</t>
  </si>
  <si>
    <t xml:space="preserve">Which segment is HURT if it holds? -&gt;</t>
  </si>
  <si>
    <t xml:space="preserve">Your production / run-rate / hedge posture, and why -&gt;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</si>
</sst>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\$#,##0.00"/>
    <numFmt numFmtId="167" formatCode="0.0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2" t="s">
        <v>1</v>
      </c>
      <c r="B4" s="2"/>
    </row>
    <row r="5" customFormat="false" ht="15" hidden="false" customHeight="false" outlineLevel="0" collapsed="false">
      <c r="A5" s="2" t="s">
        <v>2</v>
      </c>
      <c r="B5" s="2"/>
    </row>
    <row r="6" customFormat="false" ht="15" hidden="false" customHeight="false" outlineLevel="0" collapsed="false">
      <c r="A6" s="2"/>
      <c r="B6" s="2"/>
    </row>
    <row r="7" customFormat="false" ht="15" hidden="false" customHeight="false" outlineLevel="0" collapsed="false">
      <c r="A7" s="2" t="s">
        <v>3</v>
      </c>
      <c r="B7" s="2"/>
    </row>
    <row r="8" customFormat="false" ht="15" hidden="false" customHeight="false" outlineLevel="0" collapsed="false">
      <c r="A8" s="2" t="s">
        <v>4</v>
      </c>
      <c r="B8" s="2"/>
    </row>
    <row r="9" customFormat="false" ht="15" hidden="false" customHeight="false" outlineLevel="0" collapsed="false">
      <c r="A9" s="2" t="s">
        <v>5</v>
      </c>
      <c r="B9" s="2"/>
    </row>
    <row r="10" customFormat="false" ht="15" hidden="false" customHeight="false" outlineLevel="0" collapsed="false">
      <c r="A10" s="2"/>
      <c r="B10" s="2"/>
    </row>
    <row r="11" customFormat="false" ht="15" hidden="false" customHeight="false" outlineLevel="0" collapsed="false">
      <c r="A11" s="3" t="s">
        <v>6</v>
      </c>
      <c r="B11" s="2"/>
    </row>
    <row r="12" customFormat="false" ht="15" hidden="false" customHeight="false" outlineLevel="0" collapsed="false">
      <c r="A12" s="2" t="s">
        <v>7</v>
      </c>
      <c r="B12" s="2" t="s">
        <v>8</v>
      </c>
    </row>
    <row r="13" customFormat="false" ht="15" hidden="false" customHeight="false" outlineLevel="0" collapsed="false">
      <c r="A13" s="2" t="s">
        <v>9</v>
      </c>
      <c r="B13" s="2" t="s">
        <v>10</v>
      </c>
    </row>
    <row r="14" customFormat="false" ht="15" hidden="false" customHeight="false" outlineLevel="0" collapsed="false">
      <c r="A14" s="2" t="s">
        <v>11</v>
      </c>
      <c r="B14" s="2" t="s">
        <v>12</v>
      </c>
    </row>
    <row r="15" customFormat="false" ht="15" hidden="false" customHeight="false" outlineLevel="0" collapsed="false">
      <c r="A15" s="2" t="s">
        <v>13</v>
      </c>
      <c r="B15" s="2" t="s">
        <v>14</v>
      </c>
    </row>
    <row r="16" customFormat="false" ht="15" hidden="false" customHeight="false" outlineLevel="0" collapsed="false">
      <c r="A16" s="2"/>
      <c r="B16" s="2"/>
    </row>
    <row r="17" customFormat="false" ht="15" hidden="false" customHeight="false" outlineLevel="0" collapsed="false">
      <c r="A17" s="2" t="s">
        <v>15</v>
      </c>
      <c r="B1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4"/>
  </cols>
  <sheetData>
    <row r="1" customFormat="false" ht="15" hidden="false" customHeight="false" outlineLevel="0" collapsed="false">
      <c r="A1" s="4" t="s">
        <v>16</v>
      </c>
    </row>
    <row r="3" customFormat="false" ht="15" hidden="false" customHeight="false" outlineLevel="0" collapsed="false">
      <c r="A3" s="3" t="s">
        <v>17</v>
      </c>
    </row>
    <row r="4" customFormat="false" ht="15" hidden="false" customHeight="false" outlineLevel="0" collapsed="false">
      <c r="A4" s="5" t="s">
        <v>18</v>
      </c>
      <c r="B4" s="5" t="s">
        <v>19</v>
      </c>
      <c r="C4" s="5" t="s">
        <v>20</v>
      </c>
      <c r="D4" s="5" t="s">
        <v>21</v>
      </c>
    </row>
    <row r="5" customFormat="false" ht="15" hidden="false" customHeight="false" outlineLevel="0" collapsed="false">
      <c r="A5" s="2" t="s">
        <v>22</v>
      </c>
      <c r="B5" s="6" t="n">
        <v>0.35</v>
      </c>
      <c r="C5" s="7" t="n">
        <v>88</v>
      </c>
      <c r="D5" s="7" t="n">
        <v>14</v>
      </c>
    </row>
    <row r="6" customFormat="false" ht="15" hidden="false" customHeight="false" outlineLevel="0" collapsed="false">
      <c r="A6" s="2" t="s">
        <v>23</v>
      </c>
      <c r="B6" s="6" t="n">
        <v>0.4</v>
      </c>
      <c r="C6" s="7" t="n">
        <v>81</v>
      </c>
      <c r="D6" s="7" t="n">
        <v>7</v>
      </c>
    </row>
    <row r="7" customFormat="false" ht="15" hidden="false" customHeight="false" outlineLevel="0" collapsed="false">
      <c r="A7" s="2" t="s">
        <v>24</v>
      </c>
      <c r="B7" s="6" t="n">
        <v>0.25</v>
      </c>
      <c r="C7" s="7" t="n">
        <v>70</v>
      </c>
      <c r="D7" s="7" t="n">
        <v>-4</v>
      </c>
    </row>
    <row r="9" customFormat="false" ht="15" hidden="false" customHeight="false" outlineLevel="0" collapsed="false">
      <c r="A9" s="3" t="s">
        <v>25</v>
      </c>
    </row>
    <row r="10" customFormat="false" ht="15" hidden="false" customHeight="false" outlineLevel="0" collapsed="false">
      <c r="A10" s="8" t="s">
        <v>26</v>
      </c>
      <c r="B10" s="8" t="s">
        <v>27</v>
      </c>
    </row>
    <row r="11" customFormat="false" ht="15" hidden="false" customHeight="false" outlineLevel="0" collapsed="false">
      <c r="A11" s="2" t="s">
        <v>28</v>
      </c>
      <c r="B11" s="9" t="n">
        <v>1</v>
      </c>
    </row>
    <row r="12" customFormat="false" ht="15" hidden="false" customHeight="false" outlineLevel="0" collapsed="false">
      <c r="A12" s="2" t="s">
        <v>29</v>
      </c>
      <c r="B12" s="9" t="n">
        <v>-0.35</v>
      </c>
    </row>
    <row r="13" customFormat="false" ht="15" hidden="false" customHeight="false" outlineLevel="0" collapsed="false">
      <c r="A13" s="2" t="s">
        <v>30</v>
      </c>
      <c r="B13" s="9" t="n">
        <v>0.6</v>
      </c>
    </row>
    <row r="14" customFormat="false" ht="15" hidden="false" customHeight="false" outlineLevel="0" collapsed="false">
      <c r="A14" s="2" t="s">
        <v>31</v>
      </c>
      <c r="B14" s="9" t="n">
        <v>-0.05</v>
      </c>
    </row>
    <row r="16" customFormat="false" ht="15" hidden="false" customHeight="false" outlineLevel="0" collapsed="false">
      <c r="A16" s="3" t="s">
        <v>32</v>
      </c>
    </row>
    <row r="17" customFormat="false" ht="15" hidden="false" customHeight="false" outlineLevel="0" collapsed="false">
      <c r="A17" s="2" t="s">
        <v>33</v>
      </c>
      <c r="B17" s="7" t="n">
        <v>74</v>
      </c>
    </row>
    <row r="18" customFormat="false" ht="15" hidden="false" customHeight="false" outlineLevel="0" collapsed="false">
      <c r="A18" s="2" t="s">
        <v>34</v>
      </c>
      <c r="B18" s="7" t="n">
        <v>78.5</v>
      </c>
    </row>
    <row r="19" customFormat="false" ht="15" hidden="false" customHeight="false" outlineLevel="0" collapsed="false">
      <c r="A19" s="2" t="s">
        <v>35</v>
      </c>
      <c r="B19" s="7" t="n">
        <v>21.5</v>
      </c>
    </row>
    <row r="20" customFormat="false" ht="15" hidden="false" customHeight="false" outlineLevel="0" collapsed="false">
      <c r="A20" s="2" t="s">
        <v>36</v>
      </c>
      <c r="B20" s="9" t="n">
        <v>3.2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2"/>
  </cols>
  <sheetData>
    <row r="1" customFormat="false" ht="15" hidden="false" customHeight="false" outlineLevel="0" collapsed="false">
      <c r="A1" s="4" t="s">
        <v>37</v>
      </c>
    </row>
    <row r="2" customFormat="false" ht="15" hidden="false" customHeight="false" outlineLevel="0" collapsed="false">
      <c r="A2" s="10" t="s">
        <v>38</v>
      </c>
    </row>
    <row r="4" customFormat="false" ht="15" hidden="false" customHeight="false" outlineLevel="0" collapsed="false">
      <c r="A4" s="5" t="s">
        <v>39</v>
      </c>
      <c r="B4" s="5" t="s">
        <v>40</v>
      </c>
      <c r="C4" s="5" t="s">
        <v>41</v>
      </c>
      <c r="D4" s="5" t="s">
        <v>42</v>
      </c>
    </row>
    <row r="5" customFormat="false" ht="15" hidden="false" customHeight="false" outlineLevel="0" collapsed="false">
      <c r="A5" s="2" t="s">
        <v>43</v>
      </c>
      <c r="B5" s="9" t="n">
        <v>1.2</v>
      </c>
      <c r="C5" s="9" t="n">
        <v>0.9</v>
      </c>
      <c r="D5" s="6" t="n">
        <v>0.75</v>
      </c>
    </row>
    <row r="6" customFormat="false" ht="15" hidden="false" customHeight="false" outlineLevel="0" collapsed="false">
      <c r="A6" s="2" t="s">
        <v>44</v>
      </c>
      <c r="B6" s="9" t="n">
        <v>2</v>
      </c>
      <c r="C6" s="9" t="n">
        <v>1.1</v>
      </c>
      <c r="D6" s="6" t="n">
        <v>0.55</v>
      </c>
    </row>
    <row r="7" customFormat="false" ht="15" hidden="false" customHeight="false" outlineLevel="0" collapsed="false">
      <c r="A7" s="2" t="s">
        <v>45</v>
      </c>
      <c r="B7" s="9" t="n">
        <v>1.5</v>
      </c>
      <c r="C7" s="9" t="n">
        <v>1.4</v>
      </c>
      <c r="D7" s="6" t="n">
        <v>0.93</v>
      </c>
    </row>
    <row r="8" customFormat="false" ht="15" hidden="false" customHeight="false" outlineLevel="0" collapsed="false">
      <c r="A8" s="2" t="s">
        <v>46</v>
      </c>
      <c r="B8" s="9" t="n">
        <v>1</v>
      </c>
      <c r="C8" s="9" t="n">
        <v>0.4</v>
      </c>
      <c r="D8" s="6" t="n">
        <v>0.4</v>
      </c>
    </row>
    <row r="9" customFormat="false" ht="15" hidden="false" customHeight="false" outlineLevel="0" collapsed="false">
      <c r="A9" s="2" t="s">
        <v>47</v>
      </c>
      <c r="B9" s="9" t="n">
        <v>1.6</v>
      </c>
      <c r="C9" s="9" t="n">
        <v>1.2</v>
      </c>
      <c r="D9" s="6" t="n">
        <v>0.75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7"/>
  </cols>
  <sheetData>
    <row r="1" customFormat="false" ht="15" hidden="false" customHeight="false" outlineLevel="0" collapsed="false">
      <c r="A1" s="4" t="s">
        <v>48</v>
      </c>
    </row>
    <row r="2" customFormat="false" ht="15" hidden="false" customHeight="false" outlineLevel="0" collapsed="false">
      <c r="A2" s="10" t="s">
        <v>49</v>
      </c>
    </row>
    <row r="4" customFormat="false" ht="15" hidden="false" customHeight="false" outlineLevel="0" collapsed="false">
      <c r="A4" s="5" t="s">
        <v>18</v>
      </c>
      <c r="B4" s="5" t="s">
        <v>50</v>
      </c>
      <c r="C4" s="5" t="s">
        <v>21</v>
      </c>
      <c r="D4" s="5" t="s">
        <v>51</v>
      </c>
      <c r="E4" s="5" t="s">
        <v>52</v>
      </c>
      <c r="F4" s="5" t="s">
        <v>53</v>
      </c>
    </row>
    <row r="5" customFormat="false" ht="15" hidden="false" customHeight="false" outlineLevel="0" collapsed="false">
      <c r="A5" s="2" t="s">
        <v>54</v>
      </c>
      <c r="B5" s="6" t="n">
        <v>0.5</v>
      </c>
      <c r="C5" s="7" t="n">
        <v>10</v>
      </c>
      <c r="D5" s="11" t="n">
        <f aca="false">C5*'Data — Scenarios &amp; Propagation'!B11</f>
        <v>10</v>
      </c>
      <c r="E5" s="11" t="n">
        <f aca="false">'Data — Scenarios &amp; Propagation'!B19+C5*'Data — Scenarios &amp; Propagation'!B12</f>
        <v>18</v>
      </c>
      <c r="F5" s="11" t="n">
        <f aca="false">B5*D5</f>
        <v>5</v>
      </c>
    </row>
    <row r="6" customFormat="false" ht="15" hidden="false" customHeight="false" outlineLevel="0" collapsed="false">
      <c r="A6" s="2" t="s">
        <v>55</v>
      </c>
      <c r="B6" s="6" t="n">
        <v>0.3</v>
      </c>
      <c r="C6" s="7" t="n">
        <v>0</v>
      </c>
      <c r="D6" s="11" t="n">
        <f aca="false">C6*'Data — Scenarios &amp; Propagation'!B11</f>
        <v>0</v>
      </c>
      <c r="E6" s="11" t="n">
        <f aca="false">'Data — Scenarios &amp; Propagation'!B19+C6*'Data — Scenarios &amp; Propagation'!B12</f>
        <v>21.5</v>
      </c>
      <c r="F6" s="11" t="n">
        <f aca="false">B6*D6</f>
        <v>0</v>
      </c>
    </row>
    <row r="7" customFormat="false" ht="15" hidden="false" customHeight="false" outlineLevel="0" collapsed="false">
      <c r="A7" s="2" t="s">
        <v>56</v>
      </c>
      <c r="B7" s="6" t="n">
        <v>0.2</v>
      </c>
      <c r="C7" s="7" t="n">
        <v>-8</v>
      </c>
      <c r="D7" s="11" t="n">
        <f aca="false">C7*'Data — Scenarios &amp; Propagation'!B11</f>
        <v>-8</v>
      </c>
      <c r="E7" s="11" t="n">
        <f aca="false">'Data — Scenarios &amp; Propagation'!B19+C7*'Data — Scenarios &amp; Propagation'!B12</f>
        <v>24.3</v>
      </c>
      <c r="F7" s="11" t="n">
        <f aca="false">B7*D7</f>
        <v>-1.6</v>
      </c>
    </row>
    <row r="8" customFormat="false" ht="15" hidden="false" customHeight="false" outlineLevel="0" collapsed="false">
      <c r="A8" s="3" t="s">
        <v>57</v>
      </c>
      <c r="F8" s="11" t="n">
        <f aca="false">SUM(F5:F7)</f>
        <v>3.4</v>
      </c>
    </row>
    <row r="10" customFormat="false" ht="15" hidden="false" customHeight="false" outlineLevel="0" collapsed="false">
      <c r="A10" s="10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8"/>
  </cols>
  <sheetData>
    <row r="1" customFormat="false" ht="15" hidden="false" customHeight="false" outlineLevel="0" collapsed="false">
      <c r="A1" s="4" t="s">
        <v>59</v>
      </c>
    </row>
    <row r="2" customFormat="false" ht="15" hidden="false" customHeight="false" outlineLevel="0" collapsed="false">
      <c r="A2" s="10" t="s">
        <v>60</v>
      </c>
    </row>
    <row r="4" customFormat="false" ht="15" hidden="false" customHeight="false" outlineLevel="0" collapsed="false">
      <c r="A4" s="3" t="s">
        <v>61</v>
      </c>
    </row>
    <row r="5" customFormat="false" ht="15" hidden="false" customHeight="false" outlineLevel="0" collapsed="false">
      <c r="A5" s="8" t="s">
        <v>18</v>
      </c>
      <c r="B5" s="8" t="s">
        <v>62</v>
      </c>
    </row>
    <row r="6" customFormat="false" ht="15" hidden="false" customHeight="false" outlineLevel="0" collapsed="false">
      <c r="A6" s="2" t="s">
        <v>22</v>
      </c>
      <c r="B6" s="12"/>
    </row>
    <row r="7" customFormat="false" ht="15" hidden="false" customHeight="false" outlineLevel="0" collapsed="false">
      <c r="A7" s="2" t="s">
        <v>23</v>
      </c>
      <c r="B7" s="12"/>
    </row>
    <row r="8" customFormat="false" ht="15" hidden="false" customHeight="false" outlineLevel="0" collapsed="false">
      <c r="A8" s="2" t="s">
        <v>24</v>
      </c>
      <c r="B8" s="12"/>
    </row>
    <row r="9" customFormat="false" ht="15" hidden="false" customHeight="false" outlineLevel="0" collapsed="false">
      <c r="A9" s="2" t="s">
        <v>63</v>
      </c>
      <c r="B9" s="12"/>
    </row>
    <row r="11" customFormat="false" ht="15" hidden="false" customHeight="false" outlineLevel="0" collapsed="false">
      <c r="A11" s="3" t="s">
        <v>64</v>
      </c>
    </row>
    <row r="12" customFormat="false" ht="15" hidden="false" customHeight="false" outlineLevel="0" collapsed="false">
      <c r="A12" s="5" t="s">
        <v>18</v>
      </c>
      <c r="B12" s="5" t="s">
        <v>51</v>
      </c>
      <c r="C12" s="5" t="s">
        <v>52</v>
      </c>
      <c r="D12" s="5" t="s">
        <v>65</v>
      </c>
    </row>
    <row r="13" customFormat="false" ht="15" hidden="false" customHeight="false" outlineLevel="0" collapsed="false">
      <c r="A13" s="2" t="s">
        <v>22</v>
      </c>
      <c r="B13" s="13"/>
      <c r="C13" s="13"/>
      <c r="D13" s="14"/>
    </row>
    <row r="14" customFormat="false" ht="15" hidden="false" customHeight="false" outlineLevel="0" collapsed="false">
      <c r="A14" s="2" t="s">
        <v>23</v>
      </c>
      <c r="B14" s="13"/>
      <c r="C14" s="13"/>
      <c r="D14" s="14"/>
    </row>
    <row r="15" customFormat="false" ht="15" hidden="false" customHeight="false" outlineLevel="0" collapsed="false">
      <c r="A15" s="2" t="s">
        <v>24</v>
      </c>
      <c r="B15" s="13"/>
      <c r="C15" s="13"/>
      <c r="D15" s="14"/>
    </row>
    <row r="17" customFormat="false" ht="15" hidden="false" customHeight="false" outlineLevel="0" collapsed="false">
      <c r="A17" s="10" t="s">
        <v>66</v>
      </c>
    </row>
    <row r="19" customFormat="false" ht="15" hidden="false" customHeight="false" outlineLevel="0" collapsed="false">
      <c r="A19" s="3" t="s">
        <v>67</v>
      </c>
    </row>
    <row r="20" customFormat="false" ht="15" hidden="false" customHeight="false" outlineLevel="0" collapsed="false">
      <c r="A20" s="2" t="s">
        <v>68</v>
      </c>
      <c r="B20" s="15"/>
    </row>
    <row r="21" customFormat="false" ht="15" hidden="false" customHeight="false" outlineLevel="0" collapsed="false">
      <c r="A21" s="2" t="s">
        <v>69</v>
      </c>
      <c r="B21" s="15"/>
    </row>
    <row r="22" customFormat="false" ht="15" hidden="false" customHeight="false" outlineLevel="0" collapsed="false">
      <c r="A22" s="2" t="s">
        <v>70</v>
      </c>
    </row>
    <row r="23" customFormat="false" ht="15" hidden="false" customHeight="false" outlineLevel="0" collapsed="false">
      <c r="A2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2026-09-25T09:11:25Z</dcterms:created>
  <dc:creator>openpyxl</dc:creator>
  <dc:description/>
  <dc:language>en-US</dc:language>
  <cp:lastModifiedBy/>
  <dcterms:modified xsi:type="dcterms:W3CDTF">2026-09-25T09:11:25Z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