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_psc_terms" sheetId="2" state="visible" r:id="rId4"/>
    <sheet name="D_reserves" sheetId="3" state="visible" r:id="rId5"/>
    <sheet name="D_exit_and_sunk" sheetId="4" state="visible" r:id="rId6"/>
    <sheet name="D_take_grid" sheetId="5" state="visible" r:id="rId7"/>
    <sheet name="D_comparable_terms" sheetId="6" state="visible" r:id="rId8"/>
    <sheet name="D_worked_example_field" sheetId="7" state="visible" r:id="rId9"/>
    <sheet name="Worked Example" sheetId="8" state="visible" r:id="rId10"/>
    <sheet name="Your Analysi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<sst xmlns="http://schemas.openxmlformats.org/spreadsheetml/2006/main" count="68" uniqueCount="62">
  <si>
    <t xml:space="preserve">Halden Energy — Week 11: Kessana — the hold-up problem — FACULTY SOLUTION</t>
  </si>
  <si>
    <t xml:space="preserve">The Kessana government demands a higher take: 62% to 74% of profit oil. Halden's $2.8B development capital is already in the ground.</t>
  </si>
  <si>
    <t xml:space="preserve">The sunk capital is irrelevant to the decision. It is also exactly why the government has leverage.</t>
  </si>
  <si>
    <t xml:space="preserve">Compare the value of staying at each take with the value of exiting. Then ask what, beyond the spreadsheet, limits the squeeze.</t>
  </si>
  <si>
    <t xml:space="preserve">Tabs: D_* = canonical data (read-only). Worked Example = solved on adjacent data. Your Analysis = fill the yellow cells.</t>
  </si>
  <si>
    <t xml:space="preserve">Legend: blue = input, black = formula, yellow = you fill in.</t>
  </si>
  <si>
    <t xml:space="preserve">parameter</t>
  </si>
  <si>
    <t xml:space="preserve">value</t>
  </si>
  <si>
    <t xml:space="preserve">brent</t>
  </si>
  <si>
    <t xml:space="preserve">kessana_differential</t>
  </si>
  <si>
    <t xml:space="preserve">lifting</t>
  </si>
  <si>
    <t xml:space="preserve">current_take</t>
  </si>
  <si>
    <t xml:space="preserve">demanded_take</t>
  </si>
  <si>
    <t xml:space="preserve">remaining_mbbl</t>
  </si>
  <si>
    <t xml:space="preserve">production_years</t>
  </si>
  <si>
    <t xml:space="preserve">risk_rate</t>
  </si>
  <si>
    <t xml:space="preserve">exit_value_musd</t>
  </si>
  <si>
    <t xml:space="preserve">sunk_capital_musd_reference_only</t>
  </si>
  <si>
    <t xml:space="preserve">scenario</t>
  </si>
  <si>
    <t xml:space="preserve">take</t>
  </si>
  <si>
    <t xml:space="preserve">current</t>
  </si>
  <si>
    <t xml:space="preserve">mid</t>
  </si>
  <si>
    <t xml:space="preserve">demanded</t>
  </si>
  <si>
    <t xml:space="preserve">harsh</t>
  </si>
  <si>
    <t xml:space="preserve">regime</t>
  </si>
  <si>
    <t xml:space="preserve">government_take</t>
  </si>
  <si>
    <t xml:space="preserve">Deepwater A</t>
  </si>
  <si>
    <t xml:space="preserve">Deepwater B</t>
  </si>
  <si>
    <t xml:space="preserve">Shelf C</t>
  </si>
  <si>
    <t xml:space="preserve">Frontier D</t>
  </si>
  <si>
    <t xml:space="preserve">Mature E</t>
  </si>
  <si>
    <t xml:space="preserve">Deepwater F</t>
  </si>
  <si>
    <t xml:space="preserve">profit_oil</t>
  </si>
  <si>
    <t xml:space="preserve">take_before</t>
  </si>
  <si>
    <t xml:space="preserve">take_after</t>
  </si>
  <si>
    <t xml:space="preserve">annual_mbbl</t>
  </si>
  <si>
    <t xml:space="preserve">years</t>
  </si>
  <si>
    <t xml:space="preserve">rate</t>
  </si>
  <si>
    <t xml:space="preserve">exit_value</t>
  </si>
  <si>
    <t xml:space="preserve">Worked Example — solved on adjacent data. Study the method, then do Your Analysis.</t>
  </si>
  <si>
    <t xml:space="preserve">A small field: the take rises from 60% to 70%. Staying is still worth far more than the $20M exit. The indifference take shows how far the counterparty could push on economics alone.</t>
  </si>
  <si>
    <t xml:space="preserve">Annuity factor</t>
  </si>
  <si>
    <t xml:space="preserve">PV of staying before the take rises ($M)</t>
  </si>
  <si>
    <t xml:space="preserve">PV of staying after the take rises ($M)</t>
  </si>
  <si>
    <t xml:space="preserve">Indifference take</t>
  </si>
  <si>
    <t xml:space="preserve">Your Analysis — fill the YELLOW cells (faculty solution shown)</t>
  </si>
  <si>
    <t xml:space="preserve">Annuity factor = (1 − (1 + r)^−n) / r. PV of staying ($M) = profit oil × (1 − take) × annual M bbl × annuity factor. Sunk capital is not an input.</t>
  </si>
  <si>
    <t xml:space="preserve">Profit oil per barrel ($/bbl)</t>
  </si>
  <si>
    <t xml:space="preserve">Annual production (M bbl)</t>
  </si>
  <si>
    <t xml:space="preserve">Annuity factor at the Kessana risk rate</t>
  </si>
  <si>
    <t xml:space="preserve">Company margin at the current take ($/bbl)</t>
  </si>
  <si>
    <t xml:space="preserve">PV of staying at the current take ($M)</t>
  </si>
  <si>
    <t xml:space="preserve">Company margin at the mid take ($/bbl)</t>
  </si>
  <si>
    <t xml:space="preserve">PV of staying at the mid take ($M)</t>
  </si>
  <si>
    <t xml:space="preserve">Company margin at the demanded take ($/bbl)</t>
  </si>
  <si>
    <t xml:space="preserve">PV of staying at the demanded take ($M)</t>
  </si>
  <si>
    <t xml:space="preserve">Company margin at the harsh take ($/bbl)</t>
  </si>
  <si>
    <t xml:space="preserve">PV of staying at the harsh take ($M)</t>
  </si>
  <si>
    <t xml:space="preserve">PV of staying minus exit value at the demanded take ($M)</t>
  </si>
  <si>
    <t xml:space="preserve">Indifference take (staying = exiting)</t>
  </si>
  <si>
    <t xml:space="preserve">Lowest comparable government take</t>
  </si>
  <si>
    <t xml:space="preserve">Highest comparable government take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</si>
</sst>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#,##0.0"/>
    <numFmt numFmtId="167" formatCode="0.00%"/>
    <numFmt numFmtId="168" formatCode="\$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3" t="s">
        <v>6</v>
      </c>
      <c r="B1" s="3" t="s">
        <v>7</v>
      </c>
    </row>
    <row r="2" customFormat="false" ht="15" hidden="false" customHeight="false" outlineLevel="0" collapsed="false">
      <c r="A2" s="4" t="s">
        <v>8</v>
      </c>
      <c r="B2" s="4" t="n">
        <v>78.5</v>
      </c>
    </row>
    <row r="3" customFormat="false" ht="15" hidden="false" customHeight="false" outlineLevel="0" collapsed="false">
      <c r="A3" s="4" t="s">
        <v>9</v>
      </c>
      <c r="B3" s="4" t="n">
        <v>-2</v>
      </c>
    </row>
    <row r="4" customFormat="false" ht="15" hidden="false" customHeight="false" outlineLevel="0" collapsed="false">
      <c r="A4" s="4" t="s">
        <v>10</v>
      </c>
      <c r="B4" s="4" t="n">
        <v>9.5</v>
      </c>
    </row>
    <row r="5" customFormat="false" ht="15" hidden="false" customHeight="false" outlineLevel="0" collapsed="false">
      <c r="A5" s="4" t="s">
        <v>11</v>
      </c>
      <c r="B5" s="4" t="n">
        <v>0.62</v>
      </c>
    </row>
    <row r="6" customFormat="false" ht="15" hidden="false" customHeight="false" outlineLevel="0" collapsed="false">
      <c r="A6" s="4" t="s">
        <v>12</v>
      </c>
      <c r="B6" s="4" t="n">
        <v>0.74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3" t="s">
        <v>6</v>
      </c>
      <c r="B1" s="3" t="s">
        <v>7</v>
      </c>
    </row>
    <row r="2" customFormat="false" ht="15" hidden="false" customHeight="false" outlineLevel="0" collapsed="false">
      <c r="A2" s="4" t="s">
        <v>13</v>
      </c>
      <c r="B2" s="4" t="n">
        <v>340</v>
      </c>
    </row>
    <row r="3" customFormat="false" ht="15" hidden="false" customHeight="false" outlineLevel="0" collapsed="false">
      <c r="A3" s="4" t="s">
        <v>14</v>
      </c>
      <c r="B3" s="4" t="n">
        <v>10</v>
      </c>
    </row>
    <row r="4" customFormat="false" ht="15" hidden="false" customHeight="false" outlineLevel="0" collapsed="false">
      <c r="A4" s="4" t="s">
        <v>15</v>
      </c>
      <c r="B4" s="4" t="n">
        <v>0.14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3" t="s">
        <v>6</v>
      </c>
      <c r="B1" s="3" t="s">
        <v>7</v>
      </c>
    </row>
    <row r="2" customFormat="false" ht="15" hidden="false" customHeight="false" outlineLevel="0" collapsed="false">
      <c r="A2" s="4" t="s">
        <v>16</v>
      </c>
      <c r="B2" s="4" t="n">
        <v>180</v>
      </c>
    </row>
    <row r="3" customFormat="false" ht="15" hidden="false" customHeight="false" outlineLevel="0" collapsed="false">
      <c r="A3" s="4" t="s">
        <v>17</v>
      </c>
      <c r="B3" s="4" t="n">
        <v>2800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3" t="s">
        <v>18</v>
      </c>
      <c r="B1" s="3" t="s">
        <v>19</v>
      </c>
    </row>
    <row r="2" customFormat="false" ht="15" hidden="false" customHeight="false" outlineLevel="0" collapsed="false">
      <c r="A2" s="4" t="s">
        <v>20</v>
      </c>
      <c r="B2" s="4" t="n">
        <v>0.62</v>
      </c>
    </row>
    <row r="3" customFormat="false" ht="15" hidden="false" customHeight="false" outlineLevel="0" collapsed="false">
      <c r="A3" s="4" t="s">
        <v>21</v>
      </c>
      <c r="B3" s="4" t="n">
        <v>0.68</v>
      </c>
    </row>
    <row r="4" customFormat="false" ht="15" hidden="false" customHeight="false" outlineLevel="0" collapsed="false">
      <c r="A4" s="4" t="s">
        <v>22</v>
      </c>
      <c r="B4" s="4" t="n">
        <v>0.74</v>
      </c>
    </row>
    <row r="5" customFormat="false" ht="15" hidden="false" customHeight="false" outlineLevel="0" collapsed="false">
      <c r="A5" s="4" t="s">
        <v>23</v>
      </c>
      <c r="B5" s="4" t="n">
        <v>0.8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7"/>
  </cols>
  <sheetData>
    <row r="1" customFormat="false" ht="15" hidden="false" customHeight="false" outlineLevel="0" collapsed="false">
      <c r="A1" s="3" t="s">
        <v>24</v>
      </c>
      <c r="B1" s="3" t="s">
        <v>25</v>
      </c>
    </row>
    <row r="2" customFormat="false" ht="15" hidden="false" customHeight="false" outlineLevel="0" collapsed="false">
      <c r="A2" s="4" t="s">
        <v>26</v>
      </c>
      <c r="B2" s="4" t="n">
        <v>0.5</v>
      </c>
    </row>
    <row r="3" customFormat="false" ht="15" hidden="false" customHeight="false" outlineLevel="0" collapsed="false">
      <c r="A3" s="4" t="s">
        <v>27</v>
      </c>
      <c r="B3" s="4" t="n">
        <v>0.58</v>
      </c>
    </row>
    <row r="4" customFormat="false" ht="15" hidden="false" customHeight="false" outlineLevel="0" collapsed="false">
      <c r="A4" s="4" t="s">
        <v>28</v>
      </c>
      <c r="B4" s="4" t="n">
        <v>0.66</v>
      </c>
    </row>
    <row r="5" customFormat="false" ht="15" hidden="false" customHeight="false" outlineLevel="0" collapsed="false">
      <c r="A5" s="4" t="s">
        <v>29</v>
      </c>
      <c r="B5" s="4" t="n">
        <v>0.72</v>
      </c>
    </row>
    <row r="6" customFormat="false" ht="15" hidden="false" customHeight="false" outlineLevel="0" collapsed="false">
      <c r="A6" s="4" t="s">
        <v>30</v>
      </c>
      <c r="B6" s="4" t="n">
        <v>0.79</v>
      </c>
    </row>
    <row r="7" customFormat="false" ht="15" hidden="false" customHeight="false" outlineLevel="0" collapsed="false">
      <c r="A7" s="4" t="s">
        <v>31</v>
      </c>
      <c r="B7" s="4" t="n">
        <v>0.85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3" t="s">
        <v>6</v>
      </c>
      <c r="B1" s="3" t="s">
        <v>7</v>
      </c>
    </row>
    <row r="2" customFormat="false" ht="15" hidden="false" customHeight="false" outlineLevel="0" collapsed="false">
      <c r="A2" s="4" t="s">
        <v>32</v>
      </c>
      <c r="B2" s="4" t="n">
        <v>50</v>
      </c>
    </row>
    <row r="3" customFormat="false" ht="15" hidden="false" customHeight="false" outlineLevel="0" collapsed="false">
      <c r="A3" s="4" t="s">
        <v>33</v>
      </c>
      <c r="B3" s="4" t="n">
        <v>0.6</v>
      </c>
    </row>
    <row r="4" customFormat="false" ht="15" hidden="false" customHeight="false" outlineLevel="0" collapsed="false">
      <c r="A4" s="4" t="s">
        <v>34</v>
      </c>
      <c r="B4" s="4" t="n">
        <v>0.7</v>
      </c>
    </row>
    <row r="5" customFormat="false" ht="15" hidden="false" customHeight="false" outlineLevel="0" collapsed="false">
      <c r="A5" s="4" t="s">
        <v>35</v>
      </c>
      <c r="B5" s="4" t="n">
        <v>5</v>
      </c>
    </row>
    <row r="6" customFormat="false" ht="15" hidden="false" customHeight="false" outlineLevel="0" collapsed="false">
      <c r="A6" s="4" t="s">
        <v>36</v>
      </c>
      <c r="B6" s="4" t="n">
        <v>8</v>
      </c>
    </row>
    <row r="7" customFormat="false" ht="15" hidden="false" customHeight="false" outlineLevel="0" collapsed="false">
      <c r="A7" s="4" t="s">
        <v>37</v>
      </c>
      <c r="B7" s="4" t="n">
        <v>0.12</v>
      </c>
    </row>
    <row r="8" customFormat="false" ht="15" hidden="false" customHeight="false" outlineLevel="0" collapsed="false">
      <c r="A8" s="4" t="s">
        <v>38</v>
      </c>
      <c r="B8" s="4" t="n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2"/>
    <col collapsed="false" customWidth="true" hidden="false" outlineLevel="0" max="2" min="2" style="0" width="20"/>
  </cols>
  <sheetData>
    <row r="1" customFormat="false" ht="16.15" hidden="false" customHeight="false" outlineLevel="0" collapsed="false">
      <c r="A1" s="1" t="s">
        <v>39</v>
      </c>
    </row>
    <row r="2" customFormat="false" ht="15" hidden="false" customHeight="false" outlineLevel="0" collapsed="false">
      <c r="A2" s="5" t="s">
        <v>40</v>
      </c>
    </row>
    <row r="4" customFormat="false" ht="15" hidden="false" customHeight="false" outlineLevel="0" collapsed="false">
      <c r="A4" s="2" t="s">
        <v>41</v>
      </c>
      <c r="B4" s="6" t="n">
        <f aca="false">((1-(1+D_worked_example_field!B7)^-D_worked_example_field!B6)/D_worked_example_field!B7)</f>
        <v>4.96763976683859</v>
      </c>
    </row>
    <row r="5" customFormat="false" ht="15" hidden="false" customHeight="false" outlineLevel="0" collapsed="false">
      <c r="A5" s="2" t="s">
        <v>42</v>
      </c>
      <c r="B5" s="7" t="n">
        <f aca="false">D_worked_example_field!B2*(1-D_worked_example_field!B3)*D_worked_example_field!B5*((1-(1+D_worked_example_field!B7)^-D_worked_example_field!B6)/D_worked_example_field!B7)</f>
        <v>496.763976683859</v>
      </c>
    </row>
    <row r="6" customFormat="false" ht="15" hidden="false" customHeight="false" outlineLevel="0" collapsed="false">
      <c r="A6" s="2" t="s">
        <v>43</v>
      </c>
      <c r="B6" s="7" t="n">
        <f aca="false">D_worked_example_field!B2*(1-D_worked_example_field!B4)*D_worked_example_field!B5*((1-(1+D_worked_example_field!B7)^-D_worked_example_field!B6)/D_worked_example_field!B7)</f>
        <v>372.572982512894</v>
      </c>
    </row>
    <row r="7" customFormat="false" ht="15" hidden="false" customHeight="false" outlineLevel="0" collapsed="false">
      <c r="A7" s="2" t="s">
        <v>44</v>
      </c>
      <c r="B7" s="8" t="n">
        <f aca="false">1-D_worked_example_field!B8/(D_worked_example_field!B2*D_worked_example_field!B5*((1-(1+D_worked_example_field!B7)^-D_worked_example_field!B6)/D_worked_example_field!B7))</f>
        <v>0.983895772689872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4"/>
    <col collapsed="false" customWidth="true" hidden="false" outlineLevel="0" max="2" min="2" style="0" width="22"/>
  </cols>
  <sheetData>
    <row r="1" customFormat="false" ht="16.15" hidden="false" customHeight="false" outlineLevel="0" collapsed="false">
      <c r="A1" s="1" t="s">
        <v>45</v>
      </c>
    </row>
    <row r="2" customFormat="false" ht="15" hidden="false" customHeight="false" outlineLevel="0" collapsed="false">
      <c r="A2" s="5" t="s">
        <v>46</v>
      </c>
    </row>
    <row r="4" customFormat="false" ht="15" hidden="false" customHeight="false" outlineLevel="0" collapsed="false">
      <c r="A4" s="2" t="s">
        <v>47</v>
      </c>
      <c r="B4" s="9" t="n">
        <f aca="false">D_psc_terms!B2+D_psc_terms!B3-D_psc_terms!B4</f>
        <v>67</v>
      </c>
    </row>
    <row r="5" customFormat="false" ht="15" hidden="false" customHeight="false" outlineLevel="0" collapsed="false">
      <c r="A5" s="2" t="s">
        <v>48</v>
      </c>
      <c r="B5" s="10" t="n">
        <f aca="false">D_reserves!B2/D_reserves!B3</f>
        <v>34</v>
      </c>
    </row>
    <row r="6" customFormat="false" ht="15" hidden="false" customHeight="false" outlineLevel="0" collapsed="false">
      <c r="A6" s="2" t="s">
        <v>49</v>
      </c>
      <c r="B6" s="11" t="n">
        <f aca="false">(1-(1+D_reserves!B4)^-D_reserves!B3)/D_reserves!B4</f>
        <v>5.21611564629358</v>
      </c>
    </row>
    <row r="7" customFormat="false" ht="15" hidden="false" customHeight="false" outlineLevel="0" collapsed="false">
      <c r="A7" s="2" t="s">
        <v>50</v>
      </c>
      <c r="B7" s="9" t="n">
        <f aca="false">B4*(1-D_take_grid!B2)</f>
        <v>25.46</v>
      </c>
    </row>
    <row r="8" customFormat="false" ht="15" hidden="false" customHeight="false" outlineLevel="0" collapsed="false">
      <c r="A8" s="2" t="s">
        <v>51</v>
      </c>
      <c r="B8" s="10" t="n">
        <f aca="false">B7*B5*B6</f>
        <v>4515.27834805758</v>
      </c>
    </row>
    <row r="9" customFormat="false" ht="15" hidden="false" customHeight="false" outlineLevel="0" collapsed="false">
      <c r="A9" s="2" t="s">
        <v>52</v>
      </c>
      <c r="B9" s="9" t="n">
        <f aca="false">B4*(1-D_take_grid!B3)</f>
        <v>21.44</v>
      </c>
    </row>
    <row r="10" customFormat="false" ht="15" hidden="false" customHeight="false" outlineLevel="0" collapsed="false">
      <c r="A10" s="2" t="s">
        <v>53</v>
      </c>
      <c r="B10" s="10" t="n">
        <f aca="false">B9*B5*B6</f>
        <v>3802.33966152217</v>
      </c>
    </row>
    <row r="11" customFormat="false" ht="15" hidden="false" customHeight="false" outlineLevel="0" collapsed="false">
      <c r="A11" s="2" t="s">
        <v>54</v>
      </c>
      <c r="B11" s="9" t="n">
        <f aca="false">B4*(1-D_take_grid!B4)</f>
        <v>17.42</v>
      </c>
    </row>
    <row r="12" customFormat="false" ht="15" hidden="false" customHeight="false" outlineLevel="0" collapsed="false">
      <c r="A12" s="2" t="s">
        <v>55</v>
      </c>
      <c r="B12" s="10" t="n">
        <f aca="false">B11*B5*B6</f>
        <v>3089.40097498676</v>
      </c>
    </row>
    <row r="13" customFormat="false" ht="15" hidden="false" customHeight="false" outlineLevel="0" collapsed="false">
      <c r="A13" s="2" t="s">
        <v>56</v>
      </c>
      <c r="B13" s="9" t="n">
        <f aca="false">B4*(1-D_take_grid!B5)</f>
        <v>13.4</v>
      </c>
    </row>
    <row r="14" customFormat="false" ht="15" hidden="false" customHeight="false" outlineLevel="0" collapsed="false">
      <c r="A14" s="2" t="s">
        <v>57</v>
      </c>
      <c r="B14" s="10" t="n">
        <f aca="false">B13*B5*B6</f>
        <v>2376.46228845136</v>
      </c>
    </row>
    <row r="15" customFormat="false" ht="15" hidden="false" customHeight="false" outlineLevel="0" collapsed="false">
      <c r="A15" s="2" t="s">
        <v>58</v>
      </c>
      <c r="B15" s="10" t="n">
        <f aca="false">B12-D_exit_and_sunk!B2</f>
        <v>2909.40097498676</v>
      </c>
    </row>
    <row r="16" customFormat="false" ht="15" hidden="false" customHeight="false" outlineLevel="0" collapsed="false">
      <c r="A16" s="2" t="s">
        <v>59</v>
      </c>
      <c r="B16" s="12" t="n">
        <f aca="false">1-D_exit_and_sunk!B2/(B4*B5*B6)</f>
        <v>0.984851432242394</v>
      </c>
    </row>
    <row r="17" customFormat="false" ht="15" hidden="false" customHeight="false" outlineLevel="0" collapsed="false">
      <c r="A17" s="2" t="s">
        <v>60</v>
      </c>
      <c r="B17" s="12" t="n">
        <f aca="false">MIN(D_comparable_terms!B2:B7)</f>
        <v>0.5</v>
      </c>
    </row>
    <row r="18" customFormat="false" ht="15" hidden="false" customHeight="false" outlineLevel="0" collapsed="false">
      <c r="A18" s="2" t="s">
        <v>61</v>
      </c>
      <c r="B18" s="12" t="n">
        <f aca="false">MAX(D_comparable_terms!B2:B7)</f>
        <v>0.85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2026-09-25T09:29:40Z</dcterms:created>
  <dc:creator>openpyxl</dc:creator>
  <dc:description/>
  <dc:language>en-US</dc:language>
  <cp:lastModifiedBy/>
  <dcterms:modified xsi:type="dcterms:W3CDTF">2026-09-25T09:29:40Z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