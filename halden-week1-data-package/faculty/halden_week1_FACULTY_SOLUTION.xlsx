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benchmarks" sheetId="2" state="visible" r:id="rId4"/>
    <sheet name="D_upstream_assets" sheetId="3" state="visible" r:id="rId5"/>
    <sheet name="D_refining_assets" sheetId="4" state="visible" r:id="rId6"/>
    <sheet name="D_rotterdam_cost_split" sheetId="5" state="visible" r:id="rId7"/>
    <sheet name="D_book_values" sheetId="6" state="visible" r:id="rId8"/>
    <sheet name="D_product_yields" sheetId="7" state="visible" r:id="rId9"/>
    <sheet name="D_worked_example_assets" sheetId="8" state="visible" r:id="rId10"/>
    <sheet name="Worked Example" sheetId="9" state="visible" r:id="rId11"/>
    <sheet name="Your Analys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<sst xmlns="http://schemas.openxmlformats.org/spreadsheetml/2006/main" count="86" uniqueCount="69">
  <si>
    <t xml:space="preserve">Halden Energy — Week 1: Inheriting the seat — FACULTY SOLUTION</t>
  </si>
  <si>
    <t xml:space="preserve">You inherit Halden's asset portfolio. Rank the assets by economic contribution, not reported profit.</t>
  </si>
  <si>
    <t xml:space="preserve">Three traps: Rotterdam's sunk book value, the 78% Norwegian tax shield, and the political risk Kessana's income statement hides.</t>
  </si>
  <si>
    <t xml:space="preserve">Folded concept: read each refinery's cost structure — contribution over variable cost and the shutdown point.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</si>
  <si>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</si>
  <si>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</si>
  <si>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</si>
  <si>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</si>
  <si>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wti</t>
  </si>
  <si>
    <t xml:space="preserve">brent</t>
  </si>
  <si>
    <t xml:space="preserve">asset</t>
  </si>
  <si>
    <t xml:space="preserve">benchmark</t>
  </si>
  <si>
    <t xml:space="preserve">differential</t>
  </si>
  <si>
    <t xml:space="preserve">lifting</t>
  </si>
  <si>
    <t xml:space="preserve">logistics</t>
  </si>
  <si>
    <t xml:space="preserve">fiscal_type</t>
  </si>
  <si>
    <t xml:space="preserve">fiscal_rate</t>
  </si>
  <si>
    <t xml:space="preserve">Permian</t>
  </si>
  <si>
    <t xml:space="preserve">WTI</t>
  </si>
  <si>
    <t xml:space="preserve">none</t>
  </si>
  <si>
    <t xml:space="preserve">Norwegian</t>
  </si>
  <si>
    <t xml:space="preserve">Brent</t>
  </si>
  <si>
    <t xml:space="preserve">tax</t>
  </si>
  <si>
    <t xml:space="preserve">Kessana</t>
  </si>
  <si>
    <t xml:space="preserve">psc_take</t>
  </si>
  <si>
    <t xml:space="preserve">refinery</t>
  </si>
  <si>
    <t xml:space="preserve">crack</t>
  </si>
  <si>
    <t xml:space="preserve">complexity</t>
  </si>
  <si>
    <t xml:space="preserve">opex</t>
  </si>
  <si>
    <t xml:space="preserve">halden_share</t>
  </si>
  <si>
    <t xml:space="preserve">Baton Rouge</t>
  </si>
  <si>
    <t xml:space="preserve">Rotterdam</t>
  </si>
  <si>
    <t xml:space="preserve">Singapore</t>
  </si>
  <si>
    <t xml:space="preserve">variable_cost</t>
  </si>
  <si>
    <t xml:space="preserve">fixed_cost</t>
  </si>
  <si>
    <t xml:space="preserve">restart_cost_musd</t>
  </si>
  <si>
    <t xml:space="preserve">book_value_musd</t>
  </si>
  <si>
    <t xml:space="preserve">replacement_cost_musd</t>
  </si>
  <si>
    <t xml:space="preserve">reported_profit_musd</t>
  </si>
  <si>
    <t xml:space="preserve">gasoline</t>
  </si>
  <si>
    <t xml:space="preserve">diesel</t>
  </si>
  <si>
    <t xml:space="preserve">jet</t>
  </si>
  <si>
    <t xml:space="preserve">other</t>
  </si>
  <si>
    <t xml:space="preserve">x_revenue</t>
  </si>
  <si>
    <t xml:space="preserve">x_cost</t>
  </si>
  <si>
    <t xml:space="preserve">x_tax</t>
  </si>
  <si>
    <t xml:space="preserve">y_gross</t>
  </si>
  <si>
    <t xml:space="preserve">y_variable</t>
  </si>
  <si>
    <t xml:space="preserve">y_fixed</t>
  </si>
  <si>
    <t xml:space="preserve">Worked Example — solved on adjacent data. Study the method, then do Your Analysis.</t>
  </si>
  <si>
    <t xml:space="preserve">Asset X looks profitable on reported gross but keeps little after a 70% tax. Asset Y reports a loss but covers its variable cost.</t>
  </si>
  <si>
    <t xml:space="preserve">Asset X reported gross profit ($/bbl)</t>
  </si>
  <si>
    <t xml:space="preserve">Asset X after a 70% tax ($/bbl)</t>
  </si>
  <si>
    <t xml:space="preserve">Asset Y contribution over variable cost ($/bbl)</t>
  </si>
  <si>
    <t xml:space="preserve">Asset Y net margin — a loss, yet it covers variable cost ($/bbl)</t>
  </si>
  <si>
    <t xml:space="preserve">Your Analysis — fill the YELLOW cells (faculty solution shown)</t>
  </si>
  <si>
    <t xml:space="preserve">Blue cells on the D_ tabs are your inputs. Compute each answer with a formula.</t>
  </si>
  <si>
    <t xml:space="preserve">Permian realized wellhead price ($/bbl) = WTI + differential</t>
  </si>
  <si>
    <t xml:space="preserve">Permian retained margin ($/bbl) = realized − lifting − gathering/transport</t>
  </si>
  <si>
    <t xml:space="preserve">Norwegian pre-tax margin ($/bbl)</t>
  </si>
  <si>
    <t xml:space="preserve">Norwegian post-tax margin at 78% ($/bbl)</t>
  </si>
  <si>
    <t xml:space="preserve">After-tax cost to Halden of a Norwegian barrel losing $2 pre-tax</t>
  </si>
  <si>
    <t xml:space="preserve">Kessana company margin after 62% government take ($/bbl)</t>
  </si>
  <si>
    <t xml:space="preserve">Baton Rouge net refining margin ($/bbl)</t>
  </si>
  <si>
    <t xml:space="preserve">Rotterdam contribution over variable cost ($/bbl)</t>
  </si>
  <si>
    <t xml:space="preserve">Rotterdam net margin ($/bbl)</t>
  </si>
  <si>
    <t xml:space="preserve">Rotterdam shutdown crack ($/bbl) — below this, variable cost is not covered</t>
  </si>
  <si>
    <t xml:space="preserve">Singapore net margin, Halden 40% share ($/bbl)</t>
  </si>
  <si>
    <t xml:space="preserve">Top asset by economic contribution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</si>
</sst>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74</v>
      </c>
    </row>
    <row r="3" customFormat="false" ht="15" hidden="false" customHeight="false" outlineLevel="0" collapsed="false">
      <c r="A3" s="4" t="s">
        <v>9</v>
      </c>
      <c r="B3" s="4" t="n">
        <v>78.5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customFormat="false" ht="15" hidden="false" customHeight="false" outlineLevel="0" collapsed="false">
      <c r="A2" s="4" t="s">
        <v>17</v>
      </c>
      <c r="B2" s="4" t="s">
        <v>18</v>
      </c>
      <c r="C2" s="4" t="n">
        <v>-3.5</v>
      </c>
      <c r="D2" s="4" t="n">
        <v>8.8</v>
      </c>
      <c r="E2" s="4" t="n">
        <v>5.3</v>
      </c>
      <c r="F2" s="4" t="s">
        <v>19</v>
      </c>
      <c r="G2" s="4" t="n">
        <v>0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n">
        <v>-1</v>
      </c>
      <c r="D3" s="4" t="n">
        <v>28</v>
      </c>
      <c r="E3" s="4" t="n">
        <v>2.5</v>
      </c>
      <c r="F3" s="4" t="s">
        <v>22</v>
      </c>
      <c r="G3" s="4" t="n">
        <v>0.78</v>
      </c>
    </row>
    <row r="4" customFormat="false" ht="15" hidden="false" customHeight="false" outlineLevel="0" collapsed="false">
      <c r="A4" s="4" t="s">
        <v>23</v>
      </c>
      <c r="B4" s="4" t="s">
        <v>21</v>
      </c>
      <c r="C4" s="4" t="n">
        <v>-2</v>
      </c>
      <c r="D4" s="4" t="n">
        <v>9.5</v>
      </c>
      <c r="E4" s="4" t="n">
        <v>0</v>
      </c>
      <c r="F4" s="4" t="s">
        <v>24</v>
      </c>
      <c r="G4" s="4" t="n">
        <v>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customFormat="false" ht="15" hidden="false" customHeight="false" outlineLevel="0" collapsed="false">
      <c r="A2" s="4" t="s">
        <v>30</v>
      </c>
      <c r="B2" s="4" t="n">
        <v>21.5</v>
      </c>
      <c r="C2" s="4" t="n">
        <v>4.75</v>
      </c>
      <c r="D2" s="4" t="n">
        <v>5.9</v>
      </c>
      <c r="E2" s="4" t="n">
        <v>1</v>
      </c>
    </row>
    <row r="3" customFormat="false" ht="15" hidden="false" customHeight="false" outlineLevel="0" collapsed="false">
      <c r="A3" s="4" t="s">
        <v>31</v>
      </c>
      <c r="B3" s="4" t="n">
        <v>4.6</v>
      </c>
      <c r="C3" s="4" t="n">
        <v>1.5</v>
      </c>
      <c r="D3" s="4" t="n">
        <v>6.4</v>
      </c>
      <c r="E3" s="4" t="n">
        <v>1</v>
      </c>
    </row>
    <row r="4" customFormat="false" ht="15" hidden="false" customHeight="false" outlineLevel="0" collapsed="false">
      <c r="A4" s="4" t="s">
        <v>32</v>
      </c>
      <c r="B4" s="4" t="n">
        <v>12.2</v>
      </c>
      <c r="C4" s="4" t="n">
        <v>2</v>
      </c>
      <c r="D4" s="4" t="n">
        <v>5.6</v>
      </c>
      <c r="E4" s="4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33</v>
      </c>
      <c r="B2" s="4" t="n">
        <v>4.1</v>
      </c>
    </row>
    <row r="3" customFormat="false" ht="15" hidden="false" customHeight="false" outlineLevel="0" collapsed="false">
      <c r="A3" s="4" t="s">
        <v>34</v>
      </c>
      <c r="B3" s="4" t="n">
        <v>2.3</v>
      </c>
    </row>
    <row r="4" customFormat="false" ht="15" hidden="false" customHeight="false" outlineLevel="0" collapsed="false">
      <c r="A4" s="4" t="s">
        <v>35</v>
      </c>
      <c r="B4" s="4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23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10</v>
      </c>
      <c r="B1" s="3" t="s">
        <v>36</v>
      </c>
      <c r="C1" s="3" t="s">
        <v>37</v>
      </c>
      <c r="D1" s="3" t="s">
        <v>38</v>
      </c>
    </row>
    <row r="2" customFormat="false" ht="15" hidden="false" customHeight="false" outlineLevel="0" collapsed="false">
      <c r="A2" s="4" t="s">
        <v>17</v>
      </c>
      <c r="B2" s="4" t="n">
        <v>6200</v>
      </c>
      <c r="C2" s="4" t="n">
        <v>7800</v>
      </c>
      <c r="D2" s="4" t="n">
        <v>1450</v>
      </c>
    </row>
    <row r="3" customFormat="false" ht="15" hidden="false" customHeight="false" outlineLevel="0" collapsed="false">
      <c r="A3" s="4" t="s">
        <v>20</v>
      </c>
      <c r="B3" s="4" t="n">
        <v>4100</v>
      </c>
      <c r="C3" s="4" t="n">
        <v>9500</v>
      </c>
      <c r="D3" s="4" t="n">
        <v>980</v>
      </c>
    </row>
    <row r="4" customFormat="false" ht="15" hidden="false" customHeight="false" outlineLevel="0" collapsed="false">
      <c r="A4" s="4" t="s">
        <v>23</v>
      </c>
      <c r="B4" s="4" t="n">
        <v>2300</v>
      </c>
      <c r="C4" s="4" t="n">
        <v>5600</v>
      </c>
      <c r="D4" s="4" t="n">
        <v>1120</v>
      </c>
    </row>
    <row r="5" customFormat="false" ht="15" hidden="false" customHeight="false" outlineLevel="0" collapsed="false">
      <c r="A5" s="4" t="s">
        <v>30</v>
      </c>
      <c r="B5" s="4" t="n">
        <v>3900</v>
      </c>
      <c r="C5" s="4" t="n">
        <v>6800</v>
      </c>
      <c r="D5" s="4" t="n">
        <v>1210</v>
      </c>
    </row>
    <row r="6" customFormat="false" ht="15" hidden="false" customHeight="false" outlineLevel="0" collapsed="false">
      <c r="A6" s="4" t="s">
        <v>31</v>
      </c>
      <c r="B6" s="4" t="n">
        <v>650</v>
      </c>
      <c r="C6" s="4" t="n">
        <v>2900</v>
      </c>
      <c r="D6" s="4" t="n">
        <v>-85</v>
      </c>
    </row>
    <row r="7" customFormat="false" ht="15" hidden="false" customHeight="false" outlineLevel="0" collapsed="false">
      <c r="A7" s="4" t="s">
        <v>32</v>
      </c>
      <c r="B7" s="4" t="n">
        <v>820</v>
      </c>
      <c r="C7" s="4" t="n">
        <v>1400</v>
      </c>
      <c r="D7" s="4" t="n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3" t="s">
        <v>25</v>
      </c>
      <c r="B1" s="3" t="s">
        <v>39</v>
      </c>
      <c r="C1" s="3" t="s">
        <v>40</v>
      </c>
      <c r="D1" s="3" t="s">
        <v>41</v>
      </c>
      <c r="E1" s="3" t="s">
        <v>42</v>
      </c>
    </row>
    <row r="2" customFormat="false" ht="15" hidden="false" customHeight="false" outlineLevel="0" collapsed="false">
      <c r="A2" s="4" t="s">
        <v>30</v>
      </c>
      <c r="B2" s="4" t="n">
        <v>0.48</v>
      </c>
      <c r="C2" s="4" t="n">
        <v>0.32</v>
      </c>
      <c r="D2" s="4" t="n">
        <v>0.14</v>
      </c>
      <c r="E2" s="4" t="n">
        <v>0.06</v>
      </c>
    </row>
    <row r="3" customFormat="false" ht="15" hidden="false" customHeight="false" outlineLevel="0" collapsed="false">
      <c r="A3" s="4" t="s">
        <v>31</v>
      </c>
      <c r="B3" s="4" t="n">
        <v>0.32</v>
      </c>
      <c r="C3" s="4" t="n">
        <v>0.44</v>
      </c>
      <c r="D3" s="4" t="n">
        <v>0.16</v>
      </c>
      <c r="E3" s="4" t="n">
        <v>0.08</v>
      </c>
    </row>
    <row r="4" customFormat="false" ht="15" hidden="false" customHeight="false" outlineLevel="0" collapsed="false">
      <c r="A4" s="4" t="s">
        <v>32</v>
      </c>
      <c r="B4" s="4" t="n">
        <v>0.3</v>
      </c>
      <c r="C4" s="4" t="n">
        <v>0.34</v>
      </c>
      <c r="D4" s="4" t="n">
        <v>0.3</v>
      </c>
      <c r="E4" s="4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43</v>
      </c>
      <c r="B2" s="4" t="n">
        <v>60</v>
      </c>
    </row>
    <row r="3" customFormat="false" ht="15" hidden="false" customHeight="false" outlineLevel="0" collapsed="false">
      <c r="A3" s="4" t="s">
        <v>44</v>
      </c>
      <c r="B3" s="4" t="n">
        <v>20</v>
      </c>
    </row>
    <row r="4" customFormat="false" ht="15" hidden="false" customHeight="false" outlineLevel="0" collapsed="false">
      <c r="A4" s="4" t="s">
        <v>45</v>
      </c>
      <c r="B4" s="4" t="n">
        <v>0.7</v>
      </c>
    </row>
    <row r="5" customFormat="false" ht="15" hidden="false" customHeight="false" outlineLevel="0" collapsed="false">
      <c r="A5" s="4" t="s">
        <v>46</v>
      </c>
      <c r="B5" s="4" t="n">
        <v>6</v>
      </c>
    </row>
    <row r="6" customFormat="false" ht="15" hidden="false" customHeight="false" outlineLevel="0" collapsed="false">
      <c r="A6" s="4" t="s">
        <v>47</v>
      </c>
      <c r="B6" s="4" t="n">
        <v>4.5</v>
      </c>
    </row>
    <row r="7" customFormat="false" ht="15" hidden="false" customHeight="false" outlineLevel="0" collapsed="false">
      <c r="A7" s="4" t="s">
        <v>48</v>
      </c>
      <c r="B7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5" t="s">
        <v>50</v>
      </c>
    </row>
    <row r="4" customFormat="false" ht="15" hidden="false" customHeight="false" outlineLevel="0" collapsed="false">
      <c r="A4" s="2" t="s">
        <v>51</v>
      </c>
      <c r="B4" s="6" t="n">
        <f aca="false">D_worked_example_assets!B2-D_worked_example_assets!B3</f>
        <v>40</v>
      </c>
    </row>
    <row r="5" customFormat="false" ht="15" hidden="false" customHeight="false" outlineLevel="0" collapsed="false">
      <c r="A5" s="2" t="s">
        <v>52</v>
      </c>
      <c r="B5" s="6" t="n">
        <f aca="false">(D_worked_example_assets!B2-D_worked_example_assets!B3)*(1-D_worked_example_assets!B4)</f>
        <v>12</v>
      </c>
    </row>
    <row r="6" customFormat="false" ht="15" hidden="false" customHeight="false" outlineLevel="0" collapsed="false">
      <c r="A6" s="2" t="s">
        <v>53</v>
      </c>
      <c r="B6" s="6" t="n">
        <f aca="false">D_worked_example_assets!B5-D_worked_example_assets!B6</f>
        <v>1.5</v>
      </c>
    </row>
    <row r="7" customFormat="false" ht="15" hidden="false" customHeight="false" outlineLevel="0" collapsed="false">
      <c r="A7" s="2" t="s">
        <v>54</v>
      </c>
      <c r="B7" s="6" t="n">
        <f aca="false">D_worked_example_assets!B5-D_worked_example_assets!B6-D_worked_example_assets!B7</f>
        <v>-0.5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5" t="s">
        <v>56</v>
      </c>
    </row>
    <row r="4" customFormat="false" ht="15" hidden="false" customHeight="false" outlineLevel="0" collapsed="false">
      <c r="A4" s="2" t="s">
        <v>57</v>
      </c>
      <c r="B4" s="7" t="n">
        <f aca="false">D_benchmarks!B2+D_upstream_assets!C2</f>
        <v>70.5</v>
      </c>
    </row>
    <row r="5" customFormat="false" ht="15" hidden="false" customHeight="false" outlineLevel="0" collapsed="false">
      <c r="A5" s="2" t="s">
        <v>58</v>
      </c>
      <c r="B5" s="7" t="n">
        <f aca="false">B4-D_upstream_assets!D2-D_upstream_assets!E2</f>
        <v>56.4</v>
      </c>
    </row>
    <row r="6" customFormat="false" ht="15" hidden="false" customHeight="false" outlineLevel="0" collapsed="false">
      <c r="A6" s="2" t="s">
        <v>59</v>
      </c>
      <c r="B6" s="7" t="n">
        <f aca="false">D_benchmarks!B3+D_upstream_assets!C3-D_upstream_assets!D3-D_upstream_assets!E3</f>
        <v>47</v>
      </c>
    </row>
    <row r="7" customFormat="false" ht="15" hidden="false" customHeight="false" outlineLevel="0" collapsed="false">
      <c r="A7" s="2" t="s">
        <v>60</v>
      </c>
      <c r="B7" s="7" t="n">
        <f aca="false">B6*(1-D_upstream_assets!G3)</f>
        <v>10.34</v>
      </c>
    </row>
    <row r="8" customFormat="false" ht="15" hidden="false" customHeight="false" outlineLevel="0" collapsed="false">
      <c r="A8" s="2" t="s">
        <v>61</v>
      </c>
      <c r="B8" s="7" t="n">
        <f aca="false">-2*(1-D_upstream_assets!G3)</f>
        <v>-0.44</v>
      </c>
    </row>
    <row r="9" customFormat="false" ht="15" hidden="false" customHeight="false" outlineLevel="0" collapsed="false">
      <c r="A9" s="2" t="s">
        <v>62</v>
      </c>
      <c r="B9" s="7" t="n">
        <f aca="false">(D_benchmarks!B3+D_upstream_assets!C4-D_upstream_assets!D4-D_upstream_assets!E4)*(1-D_upstream_assets!G4)</f>
        <v>25.46</v>
      </c>
    </row>
    <row r="10" customFormat="false" ht="15" hidden="false" customHeight="false" outlineLevel="0" collapsed="false">
      <c r="A10" s="2" t="s">
        <v>63</v>
      </c>
      <c r="B10" s="7" t="n">
        <f aca="false">D_refining_assets!B2+D_refining_assets!C2-D_refining_assets!D2</f>
        <v>20.35</v>
      </c>
    </row>
    <row r="11" customFormat="false" ht="15" hidden="false" customHeight="false" outlineLevel="0" collapsed="false">
      <c r="A11" s="2" t="s">
        <v>64</v>
      </c>
      <c r="B11" s="7" t="n">
        <f aca="false">D_refining_assets!B3+D_refining_assets!C3-D_rotterdam_cost_split!B2</f>
        <v>2</v>
      </c>
    </row>
    <row r="12" customFormat="false" ht="15" hidden="false" customHeight="false" outlineLevel="0" collapsed="false">
      <c r="A12" s="2" t="s">
        <v>65</v>
      </c>
      <c r="B12" s="7" t="n">
        <f aca="false">B11-D_rotterdam_cost_split!B3</f>
        <v>-0.3</v>
      </c>
    </row>
    <row r="13" customFormat="false" ht="15" hidden="false" customHeight="false" outlineLevel="0" collapsed="false">
      <c r="A13" s="2" t="s">
        <v>66</v>
      </c>
      <c r="B13" s="7" t="n">
        <f aca="false">D_rotterdam_cost_split!B2-D_refining_assets!C3</f>
        <v>2.6</v>
      </c>
    </row>
    <row r="14" customFormat="false" ht="15" hidden="false" customHeight="false" outlineLevel="0" collapsed="false">
      <c r="A14" s="2" t="s">
        <v>67</v>
      </c>
      <c r="B14" s="7" t="n">
        <f aca="false">(D_refining_assets!B4+D_refining_assets!C4-D_refining_assets!D4)*D_refining_assets!E4</f>
        <v>3.44</v>
      </c>
    </row>
    <row r="15" customFormat="false" ht="15" hidden="false" customHeight="false" outlineLevel="0" collapsed="false">
      <c r="A15" s="2" t="s">
        <v>68</v>
      </c>
      <c r="B15" s="8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2026-09-25T09:25:47Z</dcterms:created>
  <dc:creator>openpyxl</dc:creator>
  <dc:description/>
  <dc:language>en-US</dc:language>
  <cp:lastModifiedBy/>
  <dcterms:modified xsi:type="dcterms:W3CDTF">2026-09-25T09:25:47Z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