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 — Projects" sheetId="2" state="visible" r:id="rId4"/>
    <sheet name="Data — Adjustments" sheetId="3" state="visible" r:id="rId5"/>
    <sheet name="Worked Example" sheetId="4" state="visible" r:id="rId6"/>
    <sheet name="Your 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" authorId="0">
      <text>
        <r>
          <rPr>
            <sz val="10"/>
            <rFont val="Arial"/>
            <family val="2"/>
          </rPr>
          <t xml:space="preserve">Helix: heavy outlay, slow ramp, long back-loaded tail. Highest total return, lowest IRR.</t>
        </r>
      </text>
    </comment>
  </commentList>
</comments>
</file>

<file path=xl/sharedStrings.xml><?xml version="1.0" encoding="utf-8"?>
<sst xmlns="http://schemas.openxmlformats.org/spreadsheetml/2006/main" count="69" uniqueCount="65">
  <si>
    <t xml:space="preserve">Halden Energy — Week 6: Capital Allocation</t>
  </si>
  <si>
    <t xml:space="preserve">Decision: allocate a constrained budget across three projects. The budget funds ~1.5 of 3.</t>
  </si>
  <si>
    <t xml:space="preserve">The twist: your cost of capital was set by your cohort's Week 4 transfer-pricing discipline.</t>
  </si>
  <si>
    <t xml:space="preserve">A disciplined cohort earns a low discount rate — which changes which project is best.</t>
  </si>
  <si>
    <t xml:space="preserve">Tabs:</t>
  </si>
  <si>
    <t xml:space="preserve">  Data — Projects</t>
  </si>
  <si>
    <t xml:space="preserve">The three project cash flows and the cohort discount schedule.</t>
  </si>
  <si>
    <t xml:space="preserve">  Data — Adjustments</t>
  </si>
  <si>
    <t xml:space="preserve">Cost of capital by risk class and the forecast-accuracy haircuts.</t>
  </si>
  <si>
    <t xml:space="preserve">  Worked Example</t>
  </si>
  <si>
    <t xml:space="preserve">NPV/IRR divergence on a prior two-project case, fully solved.</t>
  </si>
  <si>
    <t xml:space="preserve">  Your Analysis</t>
  </si>
  <si>
    <t xml:space="preserve">Compute NPV/IRR at your cohort rate, apply haircuts, allocate. Fill yellow.</t>
  </si>
  <si>
    <t xml:space="preserve">The key insight: ranking by IRR funds the wrong portfolio when capital is cheap.</t>
  </si>
  <si>
    <t xml:space="preserve">Baton Rouge has the highest IRR but Helix has the highest NPV at a low discount rate.</t>
  </si>
  <si>
    <t xml:space="preserve">Legend: blue = input, black = formula, green = pulled from cohort state, yellow = you fill in.</t>
  </si>
  <si>
    <t xml:space="preserve">Project cash flows (USD millions, year 0 = outlay)</t>
  </si>
  <si>
    <t xml:space="preserve">Year</t>
  </si>
  <si>
    <t xml:space="preserve">Baton Rouge</t>
  </si>
  <si>
    <t xml:space="preserve">Rotterdam</t>
  </si>
  <si>
    <t xml:space="preserve">Helix</t>
  </si>
  <si>
    <t xml:space="preserve">Cohort discount schedule (set by your Week 4 transfer-pricing discipline):</t>
  </si>
  <si>
    <t xml:space="preserve">Cohort Wk4 behavior</t>
  </si>
  <si>
    <t xml:space="preserve">Discount rate</t>
  </si>
  <si>
    <t xml:space="preserve">Capital envelope ($mm)</t>
  </si>
  <si>
    <t xml:space="preserve">disciplined</t>
  </si>
  <si>
    <t xml:space="preserve">base</t>
  </si>
  <si>
    <t xml:space="preserve">lax</t>
  </si>
  <si>
    <t xml:space="preserve">Cost of capital and forecast-accuracy haircuts</t>
  </si>
  <si>
    <t xml:space="preserve">Base hurdle rate by risk class:</t>
  </si>
  <si>
    <t xml:space="preserve">Risk class</t>
  </si>
  <si>
    <t xml:space="preserve">Base hurdle</t>
  </si>
  <si>
    <t xml:space="preserve">Risk flag</t>
  </si>
  <si>
    <t xml:space="preserve">refining_upgrade</t>
  </si>
  <si>
    <t xml:space="preserve">adjacent_transition</t>
  </si>
  <si>
    <t xml:space="preserve">Historical forecast accuracy (actual as % of forecast NPV):</t>
  </si>
  <si>
    <t xml:space="preserve">Project type</t>
  </si>
  <si>
    <t xml:space="preserve">Actual % of forecast</t>
  </si>
  <si>
    <t xml:space="preserve">refining</t>
  </si>
  <si>
    <t xml:space="preserve">upstream</t>
  </si>
  <si>
    <t xml:space="preserve">new_business</t>
  </si>
  <si>
    <t xml:space="preserve">Note: new-business (Helix) has the thinnest track record (61%). The haircut bites hardest where the strategic case is made.</t>
  </si>
  <si>
    <t xml:space="preserve">Worked Example — NPV/IRR divergence (prior two-project case). Study, then do Your Analysis.</t>
  </si>
  <si>
    <t xml:space="preserve">Project A is front-loaded (high IRR); Project B is back-loaded (higher NPV at low rates). Watch the ranking flip.</t>
  </si>
  <si>
    <t xml:space="preserve">Project A</t>
  </si>
  <si>
    <t xml:space="preserve">Project B</t>
  </si>
  <si>
    <t xml:space="preserve">NPV at 6% (low rate):</t>
  </si>
  <si>
    <t xml:space="preserve">NPV at 12% (high rate):</t>
  </si>
  <si>
    <t xml:space="preserve">IRR:</t>
  </si>
  <si>
    <t xml:space="preserve">Note: A has the higher IRR, but B has the higher NPV at the low rate. Ranking by IRR would pick the wrong project when capital is cheap.</t>
  </si>
  <si>
    <t xml:space="preserve">Your Analysis — allocate the budget. Fill the YELLOW cells.</t>
  </si>
  <si>
    <t xml:space="preserve">Your discount rate and envelope come from your cohort's Week 4 discipline (green). Use NPV() and IRR() as in the Worked Example.</t>
  </si>
  <si>
    <t xml:space="preserve">Your cohort discount rate (from Data — Projects; your instructor tells you your cohort state):</t>
  </si>
  <si>
    <t xml:space="preserve">Discount rate -&gt;</t>
  </si>
  <si>
    <t xml:space="preserve">(enter your cohort rate: 6.5% / 8.5% / 11.0%)</t>
  </si>
  <si>
    <t xml:space="preserve">NPV and IRR of each project — fill yellow (use NPV at your rate, and IRR):</t>
  </si>
  <si>
    <t xml:space="preserve">Project</t>
  </si>
  <si>
    <t xml:space="preserve">NPV at your rate</t>
  </si>
  <si>
    <t xml:space="preserve">IRR</t>
  </si>
  <si>
    <t xml:space="preserve">(Hint: cash flows are on Data — Projects rows 4-14, columns B/C/D. NPV(rate, year1:year10)+year0.)</t>
  </si>
  <si>
    <t xml:space="preserve">Which ranks highest by NPV? By IRR? Do they agree? — fill yellow:</t>
  </si>
  <si>
    <t xml:space="preserve">Highest NPV project -&gt;</t>
  </si>
  <si>
    <t xml:space="preserve">Highest IRR project -&gt;</t>
  </si>
  <si>
    <t xml:space="preserve">Do NPV and IRR agree? -&gt;</t>
  </si>
  <si>
    <t xml:space="preserve">Your allocation (which projects to fund, within your envelope) -&gt;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</si>
</sst>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%"/>
    <numFmt numFmtId="167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2" t="s">
        <v>1</v>
      </c>
      <c r="B4" s="2"/>
    </row>
    <row r="5" customFormat="false" ht="15" hidden="false" customHeight="false" outlineLevel="0" collapsed="false">
      <c r="A5" s="2" t="s">
        <v>2</v>
      </c>
      <c r="B5" s="2"/>
    </row>
    <row r="6" customFormat="false" ht="15" hidden="false" customHeight="false" outlineLevel="0" collapsed="false">
      <c r="A6" s="2" t="s">
        <v>3</v>
      </c>
      <c r="B6" s="2"/>
    </row>
    <row r="7" customFormat="false" ht="15" hidden="false" customHeight="false" outlineLevel="0" collapsed="false">
      <c r="A7" s="2"/>
      <c r="B7" s="2"/>
    </row>
    <row r="8" customFormat="false" ht="15" hidden="false" customHeight="false" outlineLevel="0" collapsed="false">
      <c r="A8" s="3" t="s">
        <v>4</v>
      </c>
      <c r="B8" s="2"/>
    </row>
    <row r="9" customFormat="false" ht="15" hidden="false" customHeight="false" outlineLevel="0" collapsed="false">
      <c r="A9" s="2" t="s">
        <v>5</v>
      </c>
      <c r="B9" s="2" t="s">
        <v>6</v>
      </c>
    </row>
    <row r="10" customFormat="false" ht="15" hidden="false" customHeight="false" outlineLevel="0" collapsed="false">
      <c r="A10" s="2" t="s">
        <v>7</v>
      </c>
      <c r="B10" s="2" t="s">
        <v>8</v>
      </c>
    </row>
    <row r="11" customFormat="false" ht="15" hidden="false" customHeight="false" outlineLevel="0" collapsed="false">
      <c r="A11" s="2" t="s">
        <v>9</v>
      </c>
      <c r="B11" s="2" t="s">
        <v>10</v>
      </c>
    </row>
    <row r="12" customFormat="false" ht="15" hidden="false" customHeight="false" outlineLevel="0" collapsed="false">
      <c r="A12" s="2" t="s">
        <v>11</v>
      </c>
      <c r="B12" s="2" t="s">
        <v>12</v>
      </c>
    </row>
    <row r="13" customFormat="false" ht="15" hidden="false" customHeight="false" outlineLevel="0" collapsed="false">
      <c r="A13" s="2"/>
      <c r="B13" s="2"/>
    </row>
    <row r="14" customFormat="false" ht="15" hidden="false" customHeight="false" outlineLevel="0" collapsed="false">
      <c r="A14" s="2" t="s">
        <v>13</v>
      </c>
      <c r="B14" s="2"/>
    </row>
    <row r="15" customFormat="false" ht="15" hidden="false" customHeight="false" outlineLevel="0" collapsed="false">
      <c r="A15" s="2" t="s">
        <v>14</v>
      </c>
      <c r="B15" s="2"/>
    </row>
    <row r="16" customFormat="false" ht="15" hidden="false" customHeight="false" outlineLevel="0" collapsed="false">
      <c r="A16" s="2"/>
      <c r="B16" s="2"/>
    </row>
    <row r="17" customFormat="false" ht="15" hidden="false" customHeight="false" outlineLevel="0" collapsed="false">
      <c r="A17" s="2" t="s">
        <v>15</v>
      </c>
      <c r="B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4" t="s">
        <v>16</v>
      </c>
    </row>
    <row r="3" customFormat="false" ht="15" hidden="false" customHeight="false" outlineLevel="0" collapsed="false">
      <c r="A3" s="5" t="s">
        <v>17</v>
      </c>
      <c r="B3" s="5" t="s">
        <v>18</v>
      </c>
      <c r="C3" s="5" t="s">
        <v>19</v>
      </c>
      <c r="D3" s="5" t="s">
        <v>20</v>
      </c>
    </row>
    <row r="4" customFormat="false" ht="15" hidden="false" customHeight="false" outlineLevel="0" collapsed="false">
      <c r="A4" s="6" t="n">
        <v>0</v>
      </c>
      <c r="B4" s="6" t="n">
        <v>-640</v>
      </c>
      <c r="C4" s="6" t="n">
        <v>-400</v>
      </c>
      <c r="D4" s="6" t="n">
        <v>-880</v>
      </c>
    </row>
    <row r="5" customFormat="false" ht="15" hidden="false" customHeight="false" outlineLevel="0" collapsed="false">
      <c r="A5" s="6" t="n">
        <v>1</v>
      </c>
      <c r="B5" s="6" t="n">
        <v>180</v>
      </c>
      <c r="C5" s="6" t="n">
        <v>70</v>
      </c>
      <c r="D5" s="6" t="n">
        <v>5</v>
      </c>
    </row>
    <row r="6" customFormat="false" ht="15" hidden="false" customHeight="false" outlineLevel="0" collapsed="false">
      <c r="A6" s="6" t="n">
        <v>2</v>
      </c>
      <c r="B6" s="6" t="n">
        <v>190</v>
      </c>
      <c r="C6" s="6" t="n">
        <v>95</v>
      </c>
      <c r="D6" s="6" t="n">
        <v>35</v>
      </c>
    </row>
    <row r="7" customFormat="false" ht="15" hidden="false" customHeight="false" outlineLevel="0" collapsed="false">
      <c r="A7" s="6" t="n">
        <v>3</v>
      </c>
      <c r="B7" s="6" t="n">
        <v>185</v>
      </c>
      <c r="C7" s="6" t="n">
        <v>105</v>
      </c>
      <c r="D7" s="6" t="n">
        <v>80</v>
      </c>
    </row>
    <row r="8" customFormat="false" ht="15" hidden="false" customHeight="false" outlineLevel="0" collapsed="false">
      <c r="A8" s="6" t="n">
        <v>4</v>
      </c>
      <c r="B8" s="6" t="n">
        <v>170</v>
      </c>
      <c r="C8" s="6" t="n">
        <v>105</v>
      </c>
      <c r="D8" s="6" t="n">
        <v>140</v>
      </c>
    </row>
    <row r="9" customFormat="false" ht="15" hidden="false" customHeight="false" outlineLevel="0" collapsed="false">
      <c r="A9" s="6" t="n">
        <v>5</v>
      </c>
      <c r="B9" s="6" t="n">
        <v>150</v>
      </c>
      <c r="C9" s="6" t="n">
        <v>95</v>
      </c>
      <c r="D9" s="6" t="n">
        <v>195</v>
      </c>
    </row>
    <row r="10" customFormat="false" ht="15" hidden="false" customHeight="false" outlineLevel="0" collapsed="false">
      <c r="A10" s="6" t="n">
        <v>6</v>
      </c>
      <c r="B10" s="6" t="n">
        <v>125</v>
      </c>
      <c r="C10" s="6" t="n">
        <v>80</v>
      </c>
      <c r="D10" s="6" t="n">
        <v>245</v>
      </c>
    </row>
    <row r="11" customFormat="false" ht="15" hidden="false" customHeight="false" outlineLevel="0" collapsed="false">
      <c r="A11" s="6" t="n">
        <v>7</v>
      </c>
      <c r="B11" s="6" t="n">
        <v>98</v>
      </c>
      <c r="C11" s="6" t="n">
        <v>65</v>
      </c>
      <c r="D11" s="6" t="n">
        <v>285</v>
      </c>
    </row>
    <row r="12" customFormat="false" ht="15" hidden="false" customHeight="false" outlineLevel="0" collapsed="false">
      <c r="A12" s="6" t="n">
        <v>8</v>
      </c>
      <c r="B12" s="6" t="n">
        <v>72</v>
      </c>
      <c r="C12" s="6" t="n">
        <v>50</v>
      </c>
      <c r="D12" s="6" t="n">
        <v>315</v>
      </c>
    </row>
    <row r="13" customFormat="false" ht="15" hidden="false" customHeight="false" outlineLevel="0" collapsed="false">
      <c r="A13" s="6" t="n">
        <v>9</v>
      </c>
      <c r="B13" s="6" t="n">
        <v>46</v>
      </c>
      <c r="C13" s="6" t="n">
        <v>35</v>
      </c>
      <c r="D13" s="6" t="n">
        <v>335</v>
      </c>
    </row>
    <row r="14" customFormat="false" ht="15" hidden="false" customHeight="false" outlineLevel="0" collapsed="false">
      <c r="A14" s="6" t="n">
        <v>10</v>
      </c>
      <c r="B14" s="6" t="n">
        <v>24</v>
      </c>
      <c r="C14" s="6" t="n">
        <v>25</v>
      </c>
      <c r="D14" s="6" t="n">
        <v>345</v>
      </c>
    </row>
    <row r="16" customFormat="false" ht="15" hidden="false" customHeight="false" outlineLevel="0" collapsed="false">
      <c r="A16" s="3" t="s">
        <v>21</v>
      </c>
    </row>
    <row r="17" customFormat="false" ht="15" hidden="false" customHeight="false" outlineLevel="0" collapsed="false">
      <c r="A17" s="5" t="s">
        <v>22</v>
      </c>
      <c r="B17" s="5" t="s">
        <v>23</v>
      </c>
      <c r="C17" s="5" t="s">
        <v>24</v>
      </c>
    </row>
    <row r="18" customFormat="false" ht="15" hidden="false" customHeight="false" outlineLevel="0" collapsed="false">
      <c r="A18" s="2" t="s">
        <v>25</v>
      </c>
      <c r="B18" s="7" t="n">
        <v>0.065</v>
      </c>
      <c r="C18" s="6" t="n">
        <v>1520</v>
      </c>
    </row>
    <row r="19" customFormat="false" ht="15" hidden="false" customHeight="false" outlineLevel="0" collapsed="false">
      <c r="A19" s="2" t="s">
        <v>26</v>
      </c>
      <c r="B19" s="7" t="n">
        <v>0.085</v>
      </c>
      <c r="C19" s="6" t="n">
        <v>1150</v>
      </c>
    </row>
    <row r="20" customFormat="false" ht="15" hidden="false" customHeight="false" outlineLevel="0" collapsed="false">
      <c r="A20" s="2" t="s">
        <v>27</v>
      </c>
      <c r="B20" s="7" t="n">
        <v>0.11</v>
      </c>
      <c r="C20" s="6" t="n">
        <v>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4" t="s">
        <v>28</v>
      </c>
    </row>
    <row r="3" customFormat="false" ht="15" hidden="false" customHeight="false" outlineLevel="0" collapsed="false">
      <c r="A3" s="3" t="s">
        <v>29</v>
      </c>
    </row>
    <row r="4" customFormat="false" ht="15" hidden="false" customHeight="false" outlineLevel="0" collapsed="false">
      <c r="A4" s="8" t="s">
        <v>30</v>
      </c>
      <c r="B4" s="8" t="s">
        <v>31</v>
      </c>
      <c r="C4" s="8" t="s">
        <v>32</v>
      </c>
    </row>
    <row r="5" customFormat="false" ht="15" hidden="false" customHeight="false" outlineLevel="0" collapsed="false">
      <c r="A5" s="2" t="s">
        <v>33</v>
      </c>
      <c r="B5" s="7" t="n">
        <v>0.085</v>
      </c>
      <c r="C5" s="7" t="n">
        <v>0</v>
      </c>
    </row>
    <row r="6" customFormat="false" ht="15" hidden="false" customHeight="false" outlineLevel="0" collapsed="false">
      <c r="A6" s="2" t="s">
        <v>34</v>
      </c>
      <c r="B6" s="7" t="n">
        <v>0.085</v>
      </c>
      <c r="C6" s="7" t="n">
        <v>0.02</v>
      </c>
    </row>
    <row r="8" customFormat="false" ht="15" hidden="false" customHeight="false" outlineLevel="0" collapsed="false">
      <c r="A8" s="3" t="s">
        <v>35</v>
      </c>
    </row>
    <row r="9" customFormat="false" ht="15" hidden="false" customHeight="false" outlineLevel="0" collapsed="false">
      <c r="A9" s="8" t="s">
        <v>36</v>
      </c>
      <c r="B9" s="8" t="s">
        <v>37</v>
      </c>
    </row>
    <row r="10" customFormat="false" ht="15" hidden="false" customHeight="false" outlineLevel="0" collapsed="false">
      <c r="A10" s="2" t="s">
        <v>38</v>
      </c>
      <c r="B10" s="9" t="n">
        <v>0.88</v>
      </c>
    </row>
    <row r="11" customFormat="false" ht="15" hidden="false" customHeight="false" outlineLevel="0" collapsed="false">
      <c r="A11" s="2" t="s">
        <v>39</v>
      </c>
      <c r="B11" s="9" t="n">
        <v>0.79</v>
      </c>
    </row>
    <row r="12" customFormat="false" ht="15" hidden="false" customHeight="false" outlineLevel="0" collapsed="false">
      <c r="A12" s="2" t="s">
        <v>40</v>
      </c>
      <c r="B12" s="9" t="n">
        <v>0.61</v>
      </c>
    </row>
    <row r="14" customFormat="false" ht="15" hidden="false" customHeight="false" outlineLevel="0" collapsed="false">
      <c r="A14" s="1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5" hidden="false" customHeight="false" outlineLevel="0" collapsed="false">
      <c r="A1" s="4" t="s">
        <v>42</v>
      </c>
    </row>
    <row r="2" customFormat="false" ht="15" hidden="false" customHeight="false" outlineLevel="0" collapsed="false">
      <c r="A2" s="10" t="s">
        <v>43</v>
      </c>
    </row>
    <row r="4" customFormat="false" ht="15" hidden="false" customHeight="false" outlineLevel="0" collapsed="false">
      <c r="A4" s="5" t="s">
        <v>17</v>
      </c>
      <c r="B4" s="5" t="s">
        <v>44</v>
      </c>
      <c r="C4" s="5" t="s">
        <v>45</v>
      </c>
    </row>
    <row r="5" customFormat="false" ht="15" hidden="false" customHeight="false" outlineLevel="0" collapsed="false">
      <c r="A5" s="6" t="n">
        <v>0</v>
      </c>
      <c r="B5" s="6" t="n">
        <v>-500</v>
      </c>
      <c r="C5" s="6" t="n">
        <v>-500</v>
      </c>
    </row>
    <row r="6" customFormat="false" ht="15" hidden="false" customHeight="false" outlineLevel="0" collapsed="false">
      <c r="A6" s="6" t="n">
        <v>1</v>
      </c>
      <c r="B6" s="6" t="n">
        <v>200</v>
      </c>
      <c r="C6" s="6" t="n">
        <v>20</v>
      </c>
    </row>
    <row r="7" customFormat="false" ht="15" hidden="false" customHeight="false" outlineLevel="0" collapsed="false">
      <c r="A7" s="6" t="n">
        <v>2</v>
      </c>
      <c r="B7" s="6" t="n">
        <v>180</v>
      </c>
      <c r="C7" s="6" t="n">
        <v>55</v>
      </c>
    </row>
    <row r="8" customFormat="false" ht="15" hidden="false" customHeight="false" outlineLevel="0" collapsed="false">
      <c r="A8" s="6" t="n">
        <v>3</v>
      </c>
      <c r="B8" s="6" t="n">
        <v>150</v>
      </c>
      <c r="C8" s="6" t="n">
        <v>95</v>
      </c>
    </row>
    <row r="9" customFormat="false" ht="15" hidden="false" customHeight="false" outlineLevel="0" collapsed="false">
      <c r="A9" s="6" t="n">
        <v>4</v>
      </c>
      <c r="B9" s="6" t="n">
        <v>110</v>
      </c>
      <c r="C9" s="6" t="n">
        <v>140</v>
      </c>
    </row>
    <row r="10" customFormat="false" ht="15" hidden="false" customHeight="false" outlineLevel="0" collapsed="false">
      <c r="A10" s="6" t="n">
        <v>5</v>
      </c>
      <c r="B10" s="6" t="n">
        <v>70</v>
      </c>
      <c r="C10" s="6" t="n">
        <v>180</v>
      </c>
    </row>
    <row r="11" customFormat="false" ht="15" hidden="false" customHeight="false" outlineLevel="0" collapsed="false">
      <c r="A11" s="6" t="n">
        <v>6</v>
      </c>
      <c r="B11" s="6" t="n">
        <v>40</v>
      </c>
      <c r="C11" s="6" t="n">
        <v>210</v>
      </c>
    </row>
    <row r="12" customFormat="false" ht="15" hidden="false" customHeight="false" outlineLevel="0" collapsed="false">
      <c r="A12" s="6" t="n">
        <v>7</v>
      </c>
      <c r="B12" s="6" t="n">
        <v>20</v>
      </c>
      <c r="C12" s="6" t="n">
        <v>230</v>
      </c>
    </row>
    <row r="14" customFormat="false" ht="15" hidden="false" customHeight="false" outlineLevel="0" collapsed="false">
      <c r="A14" s="3" t="s">
        <v>46</v>
      </c>
      <c r="B14" s="11" t="n">
        <f aca="false">B5+NPV(0.06,B6:B12)</f>
        <v>155.759435887267</v>
      </c>
      <c r="C14" s="11" t="n">
        <f aca="false">C5+NPV(0.06,C6:C12)</f>
        <v>193.985994211836</v>
      </c>
    </row>
    <row r="15" customFormat="false" ht="15" hidden="false" customHeight="false" outlineLevel="0" collapsed="false">
      <c r="A15" s="3" t="s">
        <v>47</v>
      </c>
      <c r="B15" s="11" t="n">
        <f aca="false">B5+NPV(0.12,B6:B12)</f>
        <v>67.7724613812878</v>
      </c>
      <c r="C15" s="11" t="n">
        <f aca="false">C5+NPV(0.12,C6:C12)</f>
        <v>30.86414964547</v>
      </c>
    </row>
    <row r="16" customFormat="false" ht="15" hidden="false" customHeight="false" outlineLevel="0" collapsed="false">
      <c r="A16" s="3" t="s">
        <v>48</v>
      </c>
      <c r="B16" s="12" t="n">
        <f aca="false">IRR(B5:B12)</f>
        <v>0.178536620144288</v>
      </c>
      <c r="C16" s="12" t="n">
        <f aca="false">IRR(C5:C12)</f>
        <v>0.134154425891636</v>
      </c>
    </row>
    <row r="18" customFormat="false" ht="15" hidden="false" customHeight="false" outlineLevel="0" collapsed="false">
      <c r="A18" s="10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20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4" t="s">
        <v>50</v>
      </c>
    </row>
    <row r="2" customFormat="false" ht="15" hidden="false" customHeight="false" outlineLevel="0" collapsed="false">
      <c r="A2" s="10" t="s">
        <v>51</v>
      </c>
    </row>
    <row r="4" customFormat="false" ht="15" hidden="false" customHeight="false" outlineLevel="0" collapsed="false">
      <c r="A4" s="3" t="s">
        <v>52</v>
      </c>
    </row>
    <row r="5" customFormat="false" ht="15" hidden="false" customHeight="false" outlineLevel="0" collapsed="false">
      <c r="A5" s="2" t="s">
        <v>53</v>
      </c>
      <c r="B5" s="13"/>
      <c r="C5" s="10" t="s">
        <v>54</v>
      </c>
    </row>
    <row r="7" customFormat="false" ht="15" hidden="false" customHeight="false" outlineLevel="0" collapsed="false">
      <c r="A7" s="3" t="s">
        <v>55</v>
      </c>
    </row>
    <row r="8" customFormat="false" ht="15" hidden="false" customHeight="false" outlineLevel="0" collapsed="false">
      <c r="A8" s="5" t="s">
        <v>56</v>
      </c>
      <c r="B8" s="5" t="s">
        <v>57</v>
      </c>
      <c r="C8" s="5" t="s">
        <v>58</v>
      </c>
    </row>
    <row r="9" customFormat="false" ht="15" hidden="false" customHeight="false" outlineLevel="0" collapsed="false">
      <c r="A9" s="2" t="s">
        <v>18</v>
      </c>
      <c r="B9" s="14"/>
      <c r="C9" s="15"/>
    </row>
    <row r="10" customFormat="false" ht="15" hidden="false" customHeight="false" outlineLevel="0" collapsed="false">
      <c r="A10" s="2" t="s">
        <v>19</v>
      </c>
      <c r="B10" s="14"/>
      <c r="C10" s="15"/>
    </row>
    <row r="11" customFormat="false" ht="15" hidden="false" customHeight="false" outlineLevel="0" collapsed="false">
      <c r="A11" s="2" t="s">
        <v>20</v>
      </c>
      <c r="B11" s="14"/>
      <c r="C11" s="15"/>
    </row>
    <row r="13" customFormat="false" ht="15" hidden="false" customHeight="false" outlineLevel="0" collapsed="false">
      <c r="A13" s="10" t="s">
        <v>59</v>
      </c>
    </row>
    <row r="15" customFormat="false" ht="15" hidden="false" customHeight="false" outlineLevel="0" collapsed="false">
      <c r="A15" s="3" t="s">
        <v>60</v>
      </c>
    </row>
    <row r="16" customFormat="false" ht="15" hidden="false" customHeight="false" outlineLevel="0" collapsed="false">
      <c r="A16" s="2" t="s">
        <v>61</v>
      </c>
      <c r="B16" s="16"/>
    </row>
    <row r="17" customFormat="false" ht="15" hidden="false" customHeight="false" outlineLevel="0" collapsed="false">
      <c r="A17" s="2" t="s">
        <v>62</v>
      </c>
      <c r="B17" s="16"/>
    </row>
    <row r="18" customFormat="false" ht="15" hidden="false" customHeight="false" outlineLevel="0" collapsed="false">
      <c r="A18" s="2" t="s">
        <v>63</v>
      </c>
      <c r="B18" s="16"/>
    </row>
    <row r="20" customFormat="false" ht="15" hidden="false" customHeight="false" outlineLevel="0" collapsed="false">
      <c r="A20" s="3" t="s">
        <v>64</v>
      </c>
    </row>
    <row r="21" customFormat="false" ht="15" hidden="false" customHeight="false" outlineLevel="0" collapsed="false">
      <c r="A21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2026-09-24T13:31:39Z</dcterms:created>
  <dc:creator>openpyxl</dc:creator>
  <dc:description/>
  <dc:language>en-US</dc:language>
  <cp:lastModifiedBy/>
  <dcterms:modified xsi:type="dcterms:W3CDTF">2026-09-24T13:31:39Z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