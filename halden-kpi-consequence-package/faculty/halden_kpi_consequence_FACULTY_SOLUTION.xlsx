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state_opening" sheetId="2" state="visible" r:id="rId4"/>
    <sheet name="D_kpi_definitions" sheetId="3" state="visible" r:id="rId5"/>
    <sheet name="D_kpi_rules" sheetId="4" state="visible" r:id="rId6"/>
    <sheet name="D_input_dictionary" sheetId="5" state="visible" r:id="rId7"/>
    <sheet name="D_reference_team_decisions" sheetId="6" state="visible" r:id="rId8"/>
    <sheet name="D_reference_team_inputs" sheetId="7" state="visible" r:id="rId9"/>
    <sheet name="D_consequence_catalog" sheetId="8" state="visible" r:id="rId10"/>
    <sheet name="D_consequence_resolution" sheetId="9" state="visible" r:id="rId11"/>
    <sheet name="D_worked_example_normalization" sheetId="10" state="visible" r:id="rId12"/>
    <sheet name="Worked Example" sheetId="11" state="visible" r:id="rId13"/>
    <sheet name="Your Analysi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<sst xmlns="http://schemas.openxmlformats.org/spreadsheetml/2006/main" count="983" uniqueCount="313">
  <si>
    <t xml:space="preserve">Halden Energy — Week KPI scoring &amp; consequences: Seven-KPI financial state, composite scoring, and consequence catalog — FACULTY SOLUTION</t>
  </si>
  <si>
    <t xml:space="preserve">Faculty and platform only. Defines Halden's opening financial state, the per-week rules that move it, the seven KPIs computed from it, and the composite ranking.</t>
  </si>
  <si>
    <t xml:space="preserve">Every rule is data. The platform applies kpi_rules.csv generically: state += coefficient x input. KPIs come from state each week, so all seven are always available.</t>
  </si>
  <si>
    <t xml:space="preserve">Composite: each KPI is min-max scaled to 0-100 within the section (net debt/EBITDA reversed), then weighted. Ties share a rank. The consequence catalog lists every cross-week thread with its rule and status.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</si>
  <si>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</si>
  <si>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</si>
  <si>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parameter</t>
  </si>
  <si>
    <t xml:space="preserve">value</t>
  </si>
  <si>
    <t xml:space="preserve">unit</t>
  </si>
  <si>
    <t xml:space="preserve">ebitda</t>
  </si>
  <si>
    <t xml:space="preserve">usd_m_run_rate</t>
  </si>
  <si>
    <t xml:space="preserve">capital_employed</t>
  </si>
  <si>
    <t xml:space="preserve">usd_m</t>
  </si>
  <si>
    <t xml:space="preserve">net_debt</t>
  </si>
  <si>
    <t xml:space="preserve">sustaining_capex</t>
  </si>
  <si>
    <t xml:space="preserve">integrated_margin_per_boe</t>
  </si>
  <si>
    <t xml:space="preserve">usd_boe</t>
  </si>
  <si>
    <t xml:space="preserve">refining_vs_benchmark</t>
  </si>
  <si>
    <t xml:space="preserve">usd_bbl</t>
  </si>
  <si>
    <t xml:space="preserve">nonfuel_per_site_k</t>
  </si>
  <si>
    <t xml:space="preserve">usd_k_per_site_yr</t>
  </si>
  <si>
    <t xml:space="preserve">asset_health</t>
  </si>
  <si>
    <t xml:space="preserve">index_0_100</t>
  </si>
  <si>
    <t xml:space="preserve">tax_rate</t>
  </si>
  <si>
    <t xml:space="preserve">fraction</t>
  </si>
  <si>
    <t xml:space="preserve">da_rate</t>
  </si>
  <si>
    <t xml:space="preserve">fraction_of_capital</t>
  </si>
  <si>
    <t xml:space="preserve">key</t>
  </si>
  <si>
    <t xml:space="preserve">weight</t>
  </si>
  <si>
    <t xml:space="preserve">direction</t>
  </si>
  <si>
    <t xml:space="preserve">formula</t>
  </si>
  <si>
    <t xml:space="preserve">higher</t>
  </si>
  <si>
    <t xml:space="preserve">state.integrated_margin_per_boe</t>
  </si>
  <si>
    <t xml:space="preserve">roace</t>
  </si>
  <si>
    <t xml:space="preserve">(ebitda - da_rate*capital_employed)*(1-tax_rate)/capital_employed</t>
  </si>
  <si>
    <t xml:space="preserve">free_cash_flow</t>
  </si>
  <si>
    <t xml:space="preserve">ebitda - tax_rate*(ebitda - da_rate*capital_employed) - sustaining_capex</t>
  </si>
  <si>
    <t xml:space="preserve">refining_net_margin_vs_benchmark</t>
  </si>
  <si>
    <t xml:space="preserve">state.refining_vs_benchmark</t>
  </si>
  <si>
    <t xml:space="preserve">retail_non_fuel_margin_per_site</t>
  </si>
  <si>
    <t xml:space="preserve">state.nonfuel_per_site_k</t>
  </si>
  <si>
    <t xml:space="preserve">net_debt_to_ebitda</t>
  </si>
  <si>
    <t xml:space="preserve">lower</t>
  </si>
  <si>
    <t xml:space="preserve">net_debt/ebitda</t>
  </si>
  <si>
    <t xml:space="preserve">asset_health_index</t>
  </si>
  <si>
    <t xml:space="preserve">state.asset_health (clamped 0-100)</t>
  </si>
  <si>
    <t xml:space="preserve">week</t>
  </si>
  <si>
    <t xml:space="preserve">input_key</t>
  </si>
  <si>
    <t xml:space="preserve">state_var</t>
  </si>
  <si>
    <t xml:space="preserve">operation</t>
  </si>
  <si>
    <t xml:space="preserve">coefficient</t>
  </si>
  <si>
    <t xml:space="preserve">rationale</t>
  </si>
  <si>
    <t xml:space="preserve">i2_retail_volume_change_pct</t>
  </si>
  <si>
    <t xml:space="preserve">add</t>
  </si>
  <si>
    <t xml:space="preserve">Each 1% of Cordell traffic moves non-fuel margin 1% of 75.6k/site</t>
  </si>
  <si>
    <t xml:space="preserve">i3_rotterdam_idled</t>
  </si>
  <si>
    <t xml:space="preserve">Idling forfeits 2.00 contribution, saves 0.90 avoidable fixed, on 120.45 M bbl/yr</t>
  </si>
  <si>
    <t xml:space="preserve">Idle/restart cycle wears the plant</t>
  </si>
  <si>
    <t xml:space="preserve">i4_geneva_leak_per_chain_bbl</t>
  </si>
  <si>
    <t xml:space="preserve">Lazy transfer price leaks value to the trading desk</t>
  </si>
  <si>
    <t xml:space="preserve">Leak on 91.25 M bbl/yr chain volume</t>
  </si>
  <si>
    <t xml:space="preserve">i5_fx_ebitda_effect_musd</t>
  </si>
  <si>
    <t xml:space="preserve">Krone benefit + Rotterdam net + hedge result + European translation</t>
  </si>
  <si>
    <t xml:space="preserve">i5_nwe_crack_shift</t>
  </si>
  <si>
    <t xml:space="preserve">Window 1 shift, weighted by Rotterdam share of throughput (330/1050)</t>
  </si>
  <si>
    <t xml:space="preserve">i5_rotterdam_window1_ebitda_musd</t>
  </si>
  <si>
    <t xml:space="preserve">Window 1 shift x 120.45 M bbl x running</t>
  </si>
  <si>
    <t xml:space="preserve">i6_outlay_musd</t>
  </si>
  <si>
    <t xml:space="preserve">Funded projects enter capital employed</t>
  </si>
  <si>
    <t xml:space="preserve">Funded by debt</t>
  </si>
  <si>
    <t xml:space="preserve">i6_year1_cashflow_musd</t>
  </si>
  <si>
    <t xml:space="preserve">Year-1 cash flow of funded projects (BR 180, Rotterdam 70, Helix 5)</t>
  </si>
  <si>
    <t xml:space="preserve">i6_br_upgrade_funded</t>
  </si>
  <si>
    <t xml:space="preserve">Crude flexibility improves reliability</t>
  </si>
  <si>
    <t xml:space="preserve">i7_retail_match_cost_musd</t>
  </si>
  <si>
    <t xml:space="preserve">Matching the rival price cut gives up fuel margin</t>
  </si>
  <si>
    <t xml:space="preserve">i7_capacity_matched</t>
  </si>
  <si>
    <t xml:space="preserve">Matching the rival expansion</t>
  </si>
  <si>
    <t xml:space="preserve">Debt-funded</t>
  </si>
  <si>
    <t xml:space="preserve">i8_dwti</t>
  </si>
  <si>
    <t xml:space="preserve">Upstream +1.00 per $1 WTI, crack -0.35</t>
  </si>
  <si>
    <t xml:space="preserve">i8_ebitda_effect_musd</t>
  </si>
  <si>
    <t xml:space="preserve">Engine-computed OPEC effect incl. hedges and positioning, excluding window 2</t>
  </si>
  <si>
    <t xml:space="preserve">i8_window2_shift</t>
  </si>
  <si>
    <t xml:space="preserve">Window 2 crack shift</t>
  </si>
  <si>
    <t xml:space="preserve">Weighted by Baton Rouge share of throughput (520/1050)</t>
  </si>
  <si>
    <t xml:space="preserve">Shift x 189.8 M bbl/yr Baton Rouge throughput</t>
  </si>
  <si>
    <t xml:space="preserve">i9_rebrand_cost_musd</t>
  </si>
  <si>
    <t xml:space="preserve">Rebrand capital</t>
  </si>
  <si>
    <t xml:space="preserve">i9_rebrand_gain_musd</t>
  </si>
  <si>
    <t xml:space="preserve">Annual rebrand gain</t>
  </si>
  <si>
    <t xml:space="preserve">$1M spread over 4,300 sites = 0.2326k/site</t>
  </si>
  <si>
    <t xml:space="preserve">i9_window3_nonfuel_shift</t>
  </si>
  <si>
    <t xml:space="preserve">$/fill shift x 180k fills/site = $k/site</t>
  </si>
  <si>
    <t xml:space="preserve">i10_blended_demand_hit</t>
  </si>
  <si>
    <t xml:space="preserve">Demand hit applied to opening EBITDA</t>
  </si>
  <si>
    <t xml:space="preserve">Demand hit applied to opening integrated margin</t>
  </si>
  <si>
    <t xml:space="preserve">i10_capex_cancelled_musd</t>
  </si>
  <si>
    <t xml:space="preserve">Cancelled capex leaves capital employed</t>
  </si>
  <si>
    <t xml:space="preserve">and reduces debt</t>
  </si>
  <si>
    <t xml:space="preserve">i10_binding_count</t>
  </si>
  <si>
    <t xml:space="preserve">Forced actions under binding constraints</t>
  </si>
  <si>
    <t xml:space="preserve">i11_kessana_margin_change</t>
  </si>
  <si>
    <t xml:space="preserve">34 M bbl/yr Kessana volume</t>
  </si>
  <si>
    <t xml:space="preserve">i11_exited</t>
  </si>
  <si>
    <t xml:space="preserve">Exit forfeits 25.46 x 34</t>
  </si>
  <si>
    <t xml:space="preserve">Kessana book value leaves</t>
  </si>
  <si>
    <t xml:space="preserve">Exit proceeds</t>
  </si>
  <si>
    <t xml:space="preserve">i12_outlay_musd</t>
  </si>
  <si>
    <t xml:space="preserve">Funded transition projects</t>
  </si>
  <si>
    <t xml:space="preserve">i12_year1_cashflow_musd</t>
  </si>
  <si>
    <t xml:space="preserve">Year-1 cash flow of funded projects</t>
  </si>
  <si>
    <t xml:space="preserve">i12_divested</t>
  </si>
  <si>
    <t xml:space="preserve">European retail sale proceeds</t>
  </si>
  <si>
    <t xml:space="preserve">European retail book leaves</t>
  </si>
  <si>
    <t xml:space="preserve">European retail EBITDA leaves</t>
  </si>
  <si>
    <t xml:space="preserve">i13_union_concession_musd</t>
  </si>
  <si>
    <t xml:space="preserve">Gross wage concession (pre-tax)</t>
  </si>
  <si>
    <t xml:space="preserve">i13_turnaround_delayed</t>
  </si>
  <si>
    <t xml:space="preserve">Deferred maintenance (Week 13 package penalty)</t>
  </si>
  <si>
    <t xml:space="preserve">Expected saving from delay</t>
  </si>
  <si>
    <t xml:space="preserve">definition</t>
  </si>
  <si>
    <t xml:space="preserve">Volume-share-weighted % change in Cordell volume from the team's Week 2 rack decisions (Week 2 engine)</t>
  </si>
  <si>
    <t xml:space="preserve">1 if the team idled Rotterdam in Week 3, else 0</t>
  </si>
  <si>
    <t xml:space="preserve">0.35 x (market TP - team TP) x 40/250 if TP below market and above marginal-cost band; else 0</t>
  </si>
  <si>
    <t xml:space="preserve">Week 5 engine: Norwegian benefit + Rotterdam net impact + team hedge result + European translation</t>
  </si>
  <si>
    <t xml:space="preserve">consequence week3_window1_nwe_crack_shift</t>
  </si>
  <si>
    <t xml:space="preserve">i5_nwe_crack_shift x 120.45 x (1 - i3_rotterdam_idled)</t>
  </si>
  <si>
    <t xml:space="preserve">1 if Baton Rouge upgrade funded</t>
  </si>
  <si>
    <t xml:space="preserve">Sum of funded Week 6 outlays</t>
  </si>
  <si>
    <t xml:space="preserve">Sum of year-1 cash flows of funded Week 6 projects</t>
  </si>
  <si>
    <t xml:space="preserve">1 if the team matched the rival expansion</t>
  </si>
  <si>
    <t xml:space="preserve">Sum of match costs over clusters where the team matched</t>
  </si>
  <si>
    <t xml:space="preserve">Resolved Week 8 delta WTI</t>
  </si>
  <si>
    <t xml:space="preserve">Week 8 engine EBITDA effect including hedges and positioning, excluding window 2</t>
  </si>
  <si>
    <t xml:space="preserve">consequence week6_window2_crack_shift</t>
  </si>
  <si>
    <t xml:space="preserve">Week 9 rebrand capital for the markets the team rebranded</t>
  </si>
  <si>
    <t xml:space="preserve">Week 9 annual gain for those markets</t>
  </si>
  <si>
    <t xml:space="preserve">consequence week7_window3_nonfuel_shift</t>
  </si>
  <si>
    <t xml:space="preserve">consequence week10_binding_count</t>
  </si>
  <si>
    <t xml:space="preserve">Week 10 engine blended demand hit (fraction)</t>
  </si>
  <si>
    <t xml:space="preserve">Capex the team cancelled in Week 10 (cannot exceed cancellable capex)</t>
  </si>
  <si>
    <t xml:space="preserve">1 if the team exited Kessana</t>
  </si>
  <si>
    <t xml:space="preserve">Negotiated Kessana margin minus 25.46</t>
  </si>
  <si>
    <t xml:space="preserve">1 if European retail divested</t>
  </si>
  <si>
    <t xml:space="preserve">Sum of funded Week 12 project costs (excluding divestment)</t>
  </si>
  <si>
    <t xml:space="preserve">Year-1 cash flow of funded Week 12 projects</t>
  </si>
  <si>
    <t xml:space="preserve">1 if turnaround delayed to off-peak</t>
  </si>
  <si>
    <t xml:space="preserve">Gross wage concession granted</t>
  </si>
  <si>
    <t xml:space="preserve">team</t>
  </si>
  <si>
    <t xml:space="preserve">decision_key</t>
  </si>
  <si>
    <t xml:space="preserve">disciplined</t>
  </si>
  <si>
    <t xml:space="preserve">first_meeting</t>
  </si>
  <si>
    <t xml:space="preserve">delacroix</t>
  </si>
  <si>
    <t xml:space="preserve">run_rotterdam</t>
  </si>
  <si>
    <t xml:space="preserve">1</t>
  </si>
  <si>
    <t xml:space="preserve">transfer_price_basis</t>
  </si>
  <si>
    <t xml:space="preserve">marginal</t>
  </si>
  <si>
    <t xml:space="preserve">fund_br</t>
  </si>
  <si>
    <t xml:space="preserve">fund_rot</t>
  </si>
  <si>
    <t xml:space="preserve">0</t>
  </si>
  <si>
    <t xml:space="preserve">fund_helix</t>
  </si>
  <si>
    <t xml:space="preserve">retail_match</t>
  </si>
  <si>
    <t xml:space="preserve">capacity_match</t>
  </si>
  <si>
    <t xml:space="preserve">ebitda_effect_musd</t>
  </si>
  <si>
    <t xml:space="preserve">600.0</t>
  </si>
  <si>
    <t xml:space="preserve">rebrand_cost_musd</t>
  </si>
  <si>
    <t xml:space="preserve">194.0</t>
  </si>
  <si>
    <t xml:space="preserve">straits_pacific_standing</t>
  </si>
  <si>
    <t xml:space="preserve">cooperative</t>
  </si>
  <si>
    <t xml:space="preserve">harvester</t>
  </si>
  <si>
    <t xml:space="preserve">vestergaard</t>
  </si>
  <si>
    <t xml:space="preserve">lazy</t>
  </si>
  <si>
    <t xml:space="preserve">950.0</t>
  </si>
  <si>
    <t xml:space="preserve">0.0</t>
  </si>
  <si>
    <t xml:space="preserve">strained</t>
  </si>
  <si>
    <t xml:space="preserve">ambitious</t>
  </si>
  <si>
    <t xml:space="preserve">800.0</t>
  </si>
  <si>
    <t xml:space="preserve">340.0</t>
  </si>
  <si>
    <t xml:space="preserve">steady</t>
  </si>
  <si>
    <t xml:space="preserve">700.0</t>
  </si>
  <si>
    <t xml:space="preserve">watchful</t>
  </si>
  <si>
    <t xml:space="preserve">version</t>
  </si>
  <si>
    <t xml:space="preserve">source_week</t>
  </si>
  <si>
    <t xml:space="preserve">source</t>
  </si>
  <si>
    <t xml:space="preserve">target_week</t>
  </si>
  <si>
    <t xml:space="preserve">target</t>
  </si>
  <si>
    <t xml:space="preserve">effect_type</t>
  </si>
  <si>
    <t xml:space="preserve">rule</t>
  </si>
  <si>
    <t xml:space="preserve">status</t>
  </si>
  <si>
    <t xml:space="preserve">variant</t>
  </si>
  <si>
    <t xml:space="preserve">week1_first_meeting_delacroix_standing</t>
  </si>
  <si>
    <t xml:space="preserve">v1</t>
  </si>
  <si>
    <t xml:space="preserve">decision.first_meeting</t>
  </si>
  <si>
    <t xml:space="preserve">standing.delacroix</t>
  </si>
  <si>
    <t xml:space="preserve">standing_transition</t>
  </si>
  <si>
    <t xml:space="preserve">met Delacroix first -&gt; cooperative; otherwise guarded</t>
  </si>
  <si>
    <t xml:space="preserve">active</t>
  </si>
  <si>
    <t xml:space="preserve">both</t>
  </si>
  <si>
    <t xml:space="preserve">week3_window1_nwe_crack_shift</t>
  </si>
  <si>
    <t xml:space="preserve">cohort mean utilization (run=0.80, idle=0.40)</t>
  </si>
  <si>
    <t xml:space="preserve">input.i5_nwe_crack_shift</t>
  </si>
  <si>
    <t xml:space="preserve">cohort_market_effect</t>
  </si>
  <si>
    <t xml:space="preserve">shift = -9.0 x (util - 0.75); bounded above the 2.60 shutdown floor</t>
  </si>
  <si>
    <t xml:space="preserve">14wk</t>
  </si>
  <si>
    <t xml:space="preserve">week4_cohort_state</t>
  </si>
  <si>
    <t xml:space="preserve">cohort transfer-price distribution</t>
  </si>
  <si>
    <t xml:space="preserve">cohort_discount_state</t>
  </si>
  <si>
    <t xml:space="preserve">cohort_company_effect</t>
  </si>
  <si>
    <t xml:space="preserve">disciplined if &gt;=70% marginal-cost; lax if &gt;=70% market-based; else base</t>
  </si>
  <si>
    <t xml:space="preserve">week4_capital_envelope_musd</t>
  </si>
  <si>
    <t xml:space="preserve">capital_envelope</t>
  </si>
  <si>
    <t xml:space="preserve">disciplined 1520 / base 1150 / lax 950; discount 6.5% / 8.5% / 11.0%</t>
  </si>
  <si>
    <t xml:space="preserve">week4_tp_delacroix_cover</t>
  </si>
  <si>
    <t xml:space="preserve">Week 4 refining segment margin vs target</t>
  </si>
  <si>
    <t xml:space="preserve">constraint.delacroix_cover</t>
  </si>
  <si>
    <t xml:space="preserve">constraint_flag</t>
  </si>
  <si>
    <t xml:space="preserve">cover = 1 if refining reports above target (marginal +42.15, lazy +14.65); 0 if market (-12.85)</t>
  </si>
  <si>
    <t xml:space="preserve">week4_whitaker_standing</t>
  </si>
  <si>
    <t xml:space="preserve">decision.transfer_price_basis</t>
  </si>
  <si>
    <t xml:space="preserve">standing.whitaker</t>
  </si>
  <si>
    <t xml:space="preserve">lazy (Geneva leak) -&gt; guarded; otherwise cooperative</t>
  </si>
  <si>
    <t xml:space="preserve">week5_hedge_coverage</t>
  </si>
  <si>
    <t xml:space="preserve">constraint.crude_hedge_coverage</t>
  </si>
  <si>
    <t xml:space="preserve">constraint_value</t>
  </si>
  <si>
    <t xml:space="preserve">cooperative/obliged 0.70; watchful/guarded 0.45; strained/hostile 0.25</t>
  </si>
  <si>
    <t xml:space="preserve">week6_cancellable_capex_musd</t>
  </si>
  <si>
    <t xml:space="preserve">capital_envelope and Helix commitment</t>
  </si>
  <si>
    <t xml:space="preserve">constraint.cancellable_capex</t>
  </si>
  <si>
    <t xml:space="preserve">(envelope - Helix 880 if funded) x 0.30; Helix is contractual and non-cancellable</t>
  </si>
  <si>
    <t xml:space="preserve">week6_window2_crack_shift</t>
  </si>
  <si>
    <t xml:space="preserve">share of teams funding Baton Rouge upgrade</t>
  </si>
  <si>
    <t xml:space="preserve">input.i8_window2_shift</t>
  </si>
  <si>
    <t xml:space="preserve">window-2 addendum: -6.0 x (share-0.50) above pivot, +3.0 x (0.50-share) below</t>
  </si>
  <si>
    <t xml:space="preserve">week7_window3_nonfuel_shift</t>
  </si>
  <si>
    <t xml:space="preserve">share of teams matching the retail price cut</t>
  </si>
  <si>
    <t xml:space="preserve">input.i9_window3_nonfuel_shift</t>
  </si>
  <si>
    <t xml:space="preserve">nonfuel shift = -0.10 x (aggression - 0.50) $/fill</t>
  </si>
  <si>
    <t xml:space="preserve">week8_cash_cushion_musd</t>
  </si>
  <si>
    <t xml:space="preserve">W8 EBITDA effect and W6/W7/W9 spend</t>
  </si>
  <si>
    <t xml:space="preserve">constraint.cash_cushion</t>
  </si>
  <si>
    <t xml:space="preserve">250 + 0.25 x W8 EBITDA effect - 0.10 x (W6 outlay + 600 x W7 capacity match + W9 rebrand)</t>
  </si>
  <si>
    <t xml:space="preserve">week10_binding_count</t>
  </si>
  <si>
    <t xml:space="preserve">five constraint values</t>
  </si>
  <si>
    <t xml:space="preserve">input.i10_binding_count</t>
  </si>
  <si>
    <t xml:space="preserve">constraint_aggregate</t>
  </si>
  <si>
    <t xml:space="preserve">binding_rules.csv from the Week 10 package</t>
  </si>
  <si>
    <t xml:space="preserve">week1_delacroix_initial_standing</t>
  </si>
  <si>
    <t xml:space="preserve">same as week1_first_meeting rule; reported for resolution fixtures</t>
  </si>
  <si>
    <t xml:space="preserve">week10_straits_pacific_flex</t>
  </si>
  <si>
    <t xml:space="preserve">standing.straits_pacific</t>
  </si>
  <si>
    <t xml:space="preserve">constraint.straits_pacific</t>
  </si>
  <si>
    <t xml:space="preserve">binding if strained or hostile</t>
  </si>
  <si>
    <t xml:space="preserve">week13_turnaround_asset_health</t>
  </si>
  <si>
    <t xml:space="preserve">decision.turnaround_delayed</t>
  </si>
  <si>
    <t xml:space="preserve">state.asset_health</t>
  </si>
  <si>
    <t xml:space="preserve">kpi_state_effect</t>
  </si>
  <si>
    <t xml:space="preserve">see kpi_rules.csv</t>
  </si>
  <si>
    <t xml:space="preserve">week7_capacity_window2_compounding</t>
  </si>
  <si>
    <t xml:space="preserve">share matching rival expansion</t>
  </si>
  <si>
    <t xml:space="preserve">deferred until the Week 7 runtime exists</t>
  </si>
  <si>
    <t xml:space="preserve">deferred</t>
  </si>
  <si>
    <t xml:space="preserve">week6_kessana_capital_to_week11</t>
  </si>
  <si>
    <t xml:space="preserve">Kessana capital committed in Week 6</t>
  </si>
  <si>
    <t xml:space="preserve">negotiating position</t>
  </si>
  <si>
    <t xml:space="preserve">position_modifier</t>
  </si>
  <si>
    <t xml:space="preserve">DROPPED by design decision: Week 6 offers no Kessana project; Week 11 differentiates on Tetteh standing and reserve estimate quality only</t>
  </si>
  <si>
    <t xml:space="preserve">dropped</t>
  </si>
  <si>
    <t xml:space="preserve">week3_rotterdam_call_to_week12</t>
  </si>
  <si>
    <t xml:space="preserve">Rotterdam run/idle and structural view</t>
  </si>
  <si>
    <t xml:space="preserve">Helix Rotterdam framing</t>
  </si>
  <si>
    <t xml:space="preserve">narrative</t>
  </si>
  <si>
    <t xml:space="preserve">debrief only; no economic effect</t>
  </si>
  <si>
    <t xml:space="preserve">week6_helix_to_week12</t>
  </si>
  <si>
    <t xml:space="preserve">Helix Rotterdam foundation</t>
  </si>
  <si>
    <t xml:space="preserve">week1_meeting_to_week12_board</t>
  </si>
  <si>
    <t xml:space="preserve">board reception</t>
  </si>
  <si>
    <t xml:space="preserve">seven-week long-lag standing thread; debrief only</t>
  </si>
  <si>
    <t xml:space="preserve">7wk</t>
  </si>
  <si>
    <t xml:space="preserve">consequence_key</t>
  </si>
  <si>
    <t xml:space="preserve">expected_target_value</t>
  </si>
  <si>
    <t xml:space="preserve">0.45</t>
  </si>
  <si>
    <t xml:space="preserve">1520.0</t>
  </si>
  <si>
    <t xml:space="preserve">0.7</t>
  </si>
  <si>
    <t xml:space="preserve">192.0</t>
  </si>
  <si>
    <t xml:space="preserve">-1.5</t>
  </si>
  <si>
    <t xml:space="preserve">0.025</t>
  </si>
  <si>
    <t xml:space="preserve">228.6</t>
  </si>
  <si>
    <t xml:space="preserve">2</t>
  </si>
  <si>
    <t xml:space="preserve">guarded</t>
  </si>
  <si>
    <t xml:space="preserve">456.0</t>
  </si>
  <si>
    <t xml:space="preserve">427.5</t>
  </si>
  <si>
    <t xml:space="preserve">3</t>
  </si>
  <si>
    <t xml:space="preserve">252.0</t>
  </si>
  <si>
    <t xml:space="preserve">301.6</t>
  </si>
  <si>
    <t xml:space="preserve">A</t>
  </si>
  <si>
    <t xml:space="preserve">B</t>
  </si>
  <si>
    <t xml:space="preserve">C</t>
  </si>
  <si>
    <t xml:space="preserve">Worked Example — solved on adjacent data. Study the method, then do Your Analysis.</t>
  </si>
  <si>
    <t xml:space="preserve">Min-max scaling within a section: the best team on a KPI scores 100, the worst 0. For net debt/EBITDA lower is better, so the scale is reversed.</t>
  </si>
  <si>
    <t xml:space="preserve">Team A score, higher is better</t>
  </si>
  <si>
    <t xml:space="preserve">Team C score, higher is better</t>
  </si>
  <si>
    <t xml:space="preserve">Team A score, lower is better</t>
  </si>
  <si>
    <t xml:space="preserve">Team B score, lower is better</t>
  </si>
  <si>
    <t xml:space="preserve">Your Analysis — fill the YELLOW cells (faculty solution shown)</t>
  </si>
  <si>
    <t xml:space="preserve">Faculty solution: opening KPIs derived from the opening state, plus a normalization example.</t>
  </si>
  <si>
    <t xml:space="preserve">Opening D&amp;A ($M)</t>
  </si>
  <si>
    <t xml:space="preserve">Opening ROACE</t>
  </si>
  <si>
    <t xml:space="preserve">Opening free cash flow ($M)</t>
  </si>
  <si>
    <t xml:space="preserve">Opening net debt / EBITDA</t>
  </si>
  <si>
    <t xml:space="preserve">Composite weights sum</t>
  </si>
  <si>
    <t xml:space="preserve">Reference section window 2 shift ($/bbl)</t>
  </si>
  <si>
    <t xml:space="preserve">Final leader after Week 13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</si>
</sst>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"/>
    <numFmt numFmtId="167" formatCode="0.00%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</row>
    <row r="2" customFormat="false" ht="15" hidden="false" customHeight="false" outlineLevel="0" collapsed="false">
      <c r="A2" s="4" t="s">
        <v>9</v>
      </c>
      <c r="B2" s="4" t="n">
        <v>15000</v>
      </c>
      <c r="C2" s="4" t="s">
        <v>10</v>
      </c>
    </row>
    <row r="3" customFormat="false" ht="15" hidden="false" customHeight="false" outlineLevel="0" collapsed="false">
      <c r="A3" s="4" t="s">
        <v>11</v>
      </c>
      <c r="B3" s="4" t="n">
        <v>62000</v>
      </c>
      <c r="C3" s="4" t="s">
        <v>12</v>
      </c>
    </row>
    <row r="4" customFormat="false" ht="15" hidden="false" customHeight="false" outlineLevel="0" collapsed="false">
      <c r="A4" s="4" t="s">
        <v>13</v>
      </c>
      <c r="B4" s="4" t="n">
        <v>19500</v>
      </c>
      <c r="C4" s="4" t="s">
        <v>12</v>
      </c>
    </row>
    <row r="5" customFormat="false" ht="15" hidden="false" customHeight="false" outlineLevel="0" collapsed="false">
      <c r="A5" s="4" t="s">
        <v>14</v>
      </c>
      <c r="B5" s="4" t="n">
        <v>4500</v>
      </c>
      <c r="C5" s="4" t="s">
        <v>10</v>
      </c>
    </row>
    <row r="6" customFormat="false" ht="15" hidden="false" customHeight="false" outlineLevel="0" collapsed="false">
      <c r="A6" s="4" t="s">
        <v>15</v>
      </c>
      <c r="B6" s="4" t="n">
        <v>76.75</v>
      </c>
      <c r="C6" s="4" t="s">
        <v>16</v>
      </c>
    </row>
    <row r="7" customFormat="false" ht="15" hidden="false" customHeight="false" outlineLevel="0" collapsed="false">
      <c r="A7" s="4" t="s">
        <v>17</v>
      </c>
      <c r="B7" s="4" t="n">
        <v>0</v>
      </c>
      <c r="C7" s="4" t="s">
        <v>18</v>
      </c>
    </row>
    <row r="8" customFormat="false" ht="15" hidden="false" customHeight="false" outlineLevel="0" collapsed="false">
      <c r="A8" s="4" t="s">
        <v>19</v>
      </c>
      <c r="B8" s="4" t="n">
        <v>75.6</v>
      </c>
      <c r="C8" s="4" t="s">
        <v>20</v>
      </c>
    </row>
    <row r="9" customFormat="false" ht="15" hidden="false" customHeight="false" outlineLevel="0" collapsed="false">
      <c r="A9" s="4" t="s">
        <v>21</v>
      </c>
      <c r="B9" s="4" t="n">
        <v>70</v>
      </c>
      <c r="C9" s="4" t="s">
        <v>22</v>
      </c>
    </row>
    <row r="10" customFormat="false" ht="15" hidden="false" customHeight="false" outlineLevel="0" collapsed="false">
      <c r="A10" s="4" t="s">
        <v>23</v>
      </c>
      <c r="B10" s="4" t="n">
        <v>0.3</v>
      </c>
      <c r="C10" s="4" t="s">
        <v>24</v>
      </c>
    </row>
    <row r="11" customFormat="false" ht="15" hidden="false" customHeight="false" outlineLevel="0" collapsed="false">
      <c r="A11" s="4" t="s">
        <v>25</v>
      </c>
      <c r="B11" s="4" t="n">
        <v>0.06</v>
      </c>
      <c r="C11" s="4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  <c r="D1" s="3" t="s">
        <v>30</v>
      </c>
    </row>
    <row r="2" customFormat="false" ht="15" hidden="false" customHeight="false" outlineLevel="0" collapsed="false">
      <c r="A2" s="4" t="s">
        <v>15</v>
      </c>
      <c r="B2" s="4" t="n">
        <v>0.3</v>
      </c>
      <c r="C2" s="4" t="s">
        <v>31</v>
      </c>
      <c r="D2" s="4" t="s">
        <v>32</v>
      </c>
    </row>
    <row r="3" customFormat="false" ht="15" hidden="false" customHeight="false" outlineLevel="0" collapsed="false">
      <c r="A3" s="4" t="s">
        <v>33</v>
      </c>
      <c r="B3" s="4" t="n">
        <v>0.15</v>
      </c>
      <c r="C3" s="4" t="s">
        <v>31</v>
      </c>
      <c r="D3" s="4" t="s">
        <v>34</v>
      </c>
    </row>
    <row r="4" customFormat="false" ht="15" hidden="false" customHeight="false" outlineLevel="0" collapsed="false">
      <c r="A4" s="4" t="s">
        <v>35</v>
      </c>
      <c r="B4" s="4" t="n">
        <v>0.15</v>
      </c>
      <c r="C4" s="4" t="s">
        <v>31</v>
      </c>
      <c r="D4" s="4" t="s">
        <v>36</v>
      </c>
    </row>
    <row r="5" customFormat="false" ht="15" hidden="false" customHeight="false" outlineLevel="0" collapsed="false">
      <c r="A5" s="4" t="s">
        <v>37</v>
      </c>
      <c r="B5" s="4" t="n">
        <v>0.1</v>
      </c>
      <c r="C5" s="4" t="s">
        <v>31</v>
      </c>
      <c r="D5" s="4" t="s">
        <v>38</v>
      </c>
    </row>
    <row r="6" customFormat="false" ht="15" hidden="false" customHeight="false" outlineLevel="0" collapsed="false">
      <c r="A6" s="4" t="s">
        <v>39</v>
      </c>
      <c r="B6" s="4" t="n">
        <v>0.1</v>
      </c>
      <c r="C6" s="4" t="s">
        <v>31</v>
      </c>
      <c r="D6" s="4" t="s">
        <v>40</v>
      </c>
    </row>
    <row r="7" customFormat="false" ht="15" hidden="false" customHeight="false" outlineLevel="0" collapsed="false">
      <c r="A7" s="4" t="s">
        <v>41</v>
      </c>
      <c r="B7" s="4" t="n">
        <v>0.1</v>
      </c>
      <c r="C7" s="4" t="s">
        <v>42</v>
      </c>
      <c r="D7" s="4" t="s">
        <v>43</v>
      </c>
    </row>
    <row r="8" customFormat="false" ht="15" hidden="false" customHeight="false" outlineLevel="0" collapsed="false">
      <c r="A8" s="4" t="s">
        <v>44</v>
      </c>
      <c r="B8" s="4" t="n">
        <v>0.1</v>
      </c>
      <c r="C8" s="4" t="s">
        <v>31</v>
      </c>
      <c r="D8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5" hidden="false" customHeight="false" outlineLevel="0" collapsed="false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</row>
    <row r="2" customFormat="false" ht="15" hidden="false" customHeight="false" outlineLevel="0" collapsed="false">
      <c r="A2" s="4" t="n">
        <v>2</v>
      </c>
      <c r="B2" s="4" t="s">
        <v>52</v>
      </c>
      <c r="C2" s="4" t="s">
        <v>19</v>
      </c>
      <c r="D2" s="4" t="s">
        <v>53</v>
      </c>
      <c r="E2" s="4" t="n">
        <v>0.756</v>
      </c>
      <c r="F2" s="4" t="s">
        <v>54</v>
      </c>
    </row>
    <row r="3" customFormat="false" ht="15" hidden="false" customHeight="false" outlineLevel="0" collapsed="false">
      <c r="A3" s="4" t="n">
        <v>3</v>
      </c>
      <c r="B3" s="4" t="s">
        <v>55</v>
      </c>
      <c r="C3" s="4" t="s">
        <v>9</v>
      </c>
      <c r="D3" s="4" t="s">
        <v>53</v>
      </c>
      <c r="E3" s="4" t="n">
        <v>-132.5</v>
      </c>
      <c r="F3" s="4" t="s">
        <v>56</v>
      </c>
    </row>
    <row r="4" customFormat="false" ht="15" hidden="false" customHeight="false" outlineLevel="0" collapsed="false">
      <c r="A4" s="4" t="n">
        <v>3</v>
      </c>
      <c r="B4" s="4" t="s">
        <v>55</v>
      </c>
      <c r="C4" s="4" t="s">
        <v>21</v>
      </c>
      <c r="D4" s="4" t="s">
        <v>53</v>
      </c>
      <c r="E4" s="4" t="n">
        <v>-1</v>
      </c>
      <c r="F4" s="4" t="s">
        <v>57</v>
      </c>
    </row>
    <row r="5" customFormat="false" ht="15" hidden="false" customHeight="false" outlineLevel="0" collapsed="false">
      <c r="A5" s="4" t="n">
        <v>4</v>
      </c>
      <c r="B5" s="4" t="s">
        <v>58</v>
      </c>
      <c r="C5" s="4" t="s">
        <v>15</v>
      </c>
      <c r="D5" s="4" t="s">
        <v>53</v>
      </c>
      <c r="E5" s="4" t="n">
        <v>-1</v>
      </c>
      <c r="F5" s="4" t="s">
        <v>59</v>
      </c>
    </row>
    <row r="6" customFormat="false" ht="15" hidden="false" customHeight="false" outlineLevel="0" collapsed="false">
      <c r="A6" s="4" t="n">
        <v>4</v>
      </c>
      <c r="B6" s="4" t="s">
        <v>58</v>
      </c>
      <c r="C6" s="4" t="s">
        <v>9</v>
      </c>
      <c r="D6" s="4" t="s">
        <v>53</v>
      </c>
      <c r="E6" s="4" t="n">
        <v>-91.25</v>
      </c>
      <c r="F6" s="4" t="s">
        <v>60</v>
      </c>
    </row>
    <row r="7" customFormat="false" ht="15" hidden="false" customHeight="false" outlineLevel="0" collapsed="false">
      <c r="A7" s="4" t="n">
        <v>5</v>
      </c>
      <c r="B7" s="4" t="s">
        <v>61</v>
      </c>
      <c r="C7" s="4" t="s">
        <v>9</v>
      </c>
      <c r="D7" s="4" t="s">
        <v>53</v>
      </c>
      <c r="E7" s="4" t="n">
        <v>1</v>
      </c>
      <c r="F7" s="4" t="s">
        <v>62</v>
      </c>
    </row>
    <row r="8" customFormat="false" ht="15" hidden="false" customHeight="false" outlineLevel="0" collapsed="false">
      <c r="A8" s="4" t="n">
        <v>5</v>
      </c>
      <c r="B8" s="4" t="s">
        <v>63</v>
      </c>
      <c r="C8" s="4" t="s">
        <v>17</v>
      </c>
      <c r="D8" s="4" t="s">
        <v>53</v>
      </c>
      <c r="E8" s="4" t="n">
        <v>0.3143</v>
      </c>
      <c r="F8" s="4" t="s">
        <v>64</v>
      </c>
    </row>
    <row r="9" customFormat="false" ht="15" hidden="false" customHeight="false" outlineLevel="0" collapsed="false">
      <c r="A9" s="4" t="n">
        <v>5</v>
      </c>
      <c r="B9" s="4" t="s">
        <v>65</v>
      </c>
      <c r="C9" s="4" t="s">
        <v>9</v>
      </c>
      <c r="D9" s="4" t="s">
        <v>53</v>
      </c>
      <c r="E9" s="4" t="n">
        <v>1</v>
      </c>
      <c r="F9" s="4" t="s">
        <v>66</v>
      </c>
    </row>
    <row r="10" customFormat="false" ht="15" hidden="false" customHeight="false" outlineLevel="0" collapsed="false">
      <c r="A10" s="4" t="n">
        <v>6</v>
      </c>
      <c r="B10" s="4" t="s">
        <v>67</v>
      </c>
      <c r="C10" s="4" t="s">
        <v>11</v>
      </c>
      <c r="D10" s="4" t="s">
        <v>53</v>
      </c>
      <c r="E10" s="4" t="n">
        <v>1</v>
      </c>
      <c r="F10" s="4" t="s">
        <v>68</v>
      </c>
    </row>
    <row r="11" customFormat="false" ht="15" hidden="false" customHeight="false" outlineLevel="0" collapsed="false">
      <c r="A11" s="4" t="n">
        <v>6</v>
      </c>
      <c r="B11" s="4" t="s">
        <v>67</v>
      </c>
      <c r="C11" s="4" t="s">
        <v>13</v>
      </c>
      <c r="D11" s="4" t="s">
        <v>53</v>
      </c>
      <c r="E11" s="4" t="n">
        <v>1</v>
      </c>
      <c r="F11" s="4" t="s">
        <v>69</v>
      </c>
    </row>
    <row r="12" customFormat="false" ht="15" hidden="false" customHeight="false" outlineLevel="0" collapsed="false">
      <c r="A12" s="4" t="n">
        <v>6</v>
      </c>
      <c r="B12" s="4" t="s">
        <v>70</v>
      </c>
      <c r="C12" s="4" t="s">
        <v>9</v>
      </c>
      <c r="D12" s="4" t="s">
        <v>53</v>
      </c>
      <c r="E12" s="4" t="n">
        <v>1</v>
      </c>
      <c r="F12" s="4" t="s">
        <v>71</v>
      </c>
    </row>
    <row r="13" customFormat="false" ht="15" hidden="false" customHeight="false" outlineLevel="0" collapsed="false">
      <c r="A13" s="4" t="n">
        <v>6</v>
      </c>
      <c r="B13" s="4" t="s">
        <v>72</v>
      </c>
      <c r="C13" s="4" t="s">
        <v>21</v>
      </c>
      <c r="D13" s="4" t="s">
        <v>53</v>
      </c>
      <c r="E13" s="4" t="n">
        <v>2</v>
      </c>
      <c r="F13" s="4" t="s">
        <v>73</v>
      </c>
    </row>
    <row r="14" customFormat="false" ht="15" hidden="false" customHeight="false" outlineLevel="0" collapsed="false">
      <c r="A14" s="4" t="n">
        <v>7</v>
      </c>
      <c r="B14" s="4" t="s">
        <v>74</v>
      </c>
      <c r="C14" s="4" t="s">
        <v>9</v>
      </c>
      <c r="D14" s="4" t="s">
        <v>53</v>
      </c>
      <c r="E14" s="4" t="n">
        <v>-1</v>
      </c>
      <c r="F14" s="4" t="s">
        <v>75</v>
      </c>
    </row>
    <row r="15" customFormat="false" ht="15" hidden="false" customHeight="false" outlineLevel="0" collapsed="false">
      <c r="A15" s="4" t="n">
        <v>7</v>
      </c>
      <c r="B15" s="4" t="s">
        <v>76</v>
      </c>
      <c r="C15" s="4" t="s">
        <v>11</v>
      </c>
      <c r="D15" s="4" t="s">
        <v>53</v>
      </c>
      <c r="E15" s="4" t="n">
        <v>600</v>
      </c>
      <c r="F15" s="4" t="s">
        <v>77</v>
      </c>
    </row>
    <row r="16" customFormat="false" ht="15" hidden="false" customHeight="false" outlineLevel="0" collapsed="false">
      <c r="A16" s="4" t="n">
        <v>7</v>
      </c>
      <c r="B16" s="4" t="s">
        <v>76</v>
      </c>
      <c r="C16" s="4" t="s">
        <v>13</v>
      </c>
      <c r="D16" s="4" t="s">
        <v>53</v>
      </c>
      <c r="E16" s="4" t="n">
        <v>600</v>
      </c>
      <c r="F16" s="4" t="s">
        <v>78</v>
      </c>
    </row>
    <row r="17" customFormat="false" ht="15" hidden="false" customHeight="false" outlineLevel="0" collapsed="false">
      <c r="A17" s="4" t="n">
        <v>8</v>
      </c>
      <c r="B17" s="4" t="s">
        <v>79</v>
      </c>
      <c r="C17" s="4" t="s">
        <v>15</v>
      </c>
      <c r="D17" s="4" t="s">
        <v>53</v>
      </c>
      <c r="E17" s="4" t="n">
        <v>0.65</v>
      </c>
      <c r="F17" s="4" t="s">
        <v>80</v>
      </c>
    </row>
    <row r="18" customFormat="false" ht="15" hidden="false" customHeight="false" outlineLevel="0" collapsed="false">
      <c r="A18" s="4" t="n">
        <v>8</v>
      </c>
      <c r="B18" s="4" t="s">
        <v>81</v>
      </c>
      <c r="C18" s="4" t="s">
        <v>9</v>
      </c>
      <c r="D18" s="4" t="s">
        <v>53</v>
      </c>
      <c r="E18" s="4" t="n">
        <v>1</v>
      </c>
      <c r="F18" s="4" t="s">
        <v>82</v>
      </c>
    </row>
    <row r="19" customFormat="false" ht="15" hidden="false" customHeight="false" outlineLevel="0" collapsed="false">
      <c r="A19" s="4" t="n">
        <v>8</v>
      </c>
      <c r="B19" s="4" t="s">
        <v>83</v>
      </c>
      <c r="C19" s="4" t="s">
        <v>15</v>
      </c>
      <c r="D19" s="4" t="s">
        <v>53</v>
      </c>
      <c r="E19" s="4" t="n">
        <v>1</v>
      </c>
      <c r="F19" s="4" t="s">
        <v>84</v>
      </c>
    </row>
    <row r="20" customFormat="false" ht="15" hidden="false" customHeight="false" outlineLevel="0" collapsed="false">
      <c r="A20" s="4" t="n">
        <v>8</v>
      </c>
      <c r="B20" s="4" t="s">
        <v>83</v>
      </c>
      <c r="C20" s="4" t="s">
        <v>17</v>
      </c>
      <c r="D20" s="4" t="s">
        <v>53</v>
      </c>
      <c r="E20" s="4" t="n">
        <v>0.4952</v>
      </c>
      <c r="F20" s="4" t="s">
        <v>85</v>
      </c>
    </row>
    <row r="21" customFormat="false" ht="15" hidden="false" customHeight="false" outlineLevel="0" collapsed="false">
      <c r="A21" s="4" t="n">
        <v>8</v>
      </c>
      <c r="B21" s="4" t="s">
        <v>83</v>
      </c>
      <c r="C21" s="4" t="s">
        <v>9</v>
      </c>
      <c r="D21" s="4" t="s">
        <v>53</v>
      </c>
      <c r="E21" s="4" t="n">
        <v>189.8</v>
      </c>
      <c r="F21" s="4" t="s">
        <v>86</v>
      </c>
    </row>
    <row r="22" customFormat="false" ht="15" hidden="false" customHeight="false" outlineLevel="0" collapsed="false">
      <c r="A22" s="4" t="n">
        <v>9</v>
      </c>
      <c r="B22" s="4" t="s">
        <v>87</v>
      </c>
      <c r="C22" s="4" t="s">
        <v>11</v>
      </c>
      <c r="D22" s="4" t="s">
        <v>53</v>
      </c>
      <c r="E22" s="4" t="n">
        <v>1</v>
      </c>
      <c r="F22" s="4" t="s">
        <v>88</v>
      </c>
    </row>
    <row r="23" customFormat="false" ht="15" hidden="false" customHeight="false" outlineLevel="0" collapsed="false">
      <c r="A23" s="4" t="n">
        <v>9</v>
      </c>
      <c r="B23" s="4" t="s">
        <v>87</v>
      </c>
      <c r="C23" s="4" t="s">
        <v>13</v>
      </c>
      <c r="D23" s="4" t="s">
        <v>53</v>
      </c>
      <c r="E23" s="4" t="n">
        <v>1</v>
      </c>
      <c r="F23" s="4" t="s">
        <v>78</v>
      </c>
    </row>
    <row r="24" customFormat="false" ht="15" hidden="false" customHeight="false" outlineLevel="0" collapsed="false">
      <c r="A24" s="4" t="n">
        <v>9</v>
      </c>
      <c r="B24" s="4" t="s">
        <v>89</v>
      </c>
      <c r="C24" s="4" t="s">
        <v>9</v>
      </c>
      <c r="D24" s="4" t="s">
        <v>53</v>
      </c>
      <c r="E24" s="4" t="n">
        <v>1</v>
      </c>
      <c r="F24" s="4" t="s">
        <v>90</v>
      </c>
    </row>
    <row r="25" customFormat="false" ht="15" hidden="false" customHeight="false" outlineLevel="0" collapsed="false">
      <c r="A25" s="4" t="n">
        <v>9</v>
      </c>
      <c r="B25" s="4" t="s">
        <v>89</v>
      </c>
      <c r="C25" s="4" t="s">
        <v>19</v>
      </c>
      <c r="D25" s="4" t="s">
        <v>53</v>
      </c>
      <c r="E25" s="4" t="n">
        <v>0.2326</v>
      </c>
      <c r="F25" s="4" t="s">
        <v>91</v>
      </c>
    </row>
    <row r="26" customFormat="false" ht="15" hidden="false" customHeight="false" outlineLevel="0" collapsed="false">
      <c r="A26" s="4" t="n">
        <v>9</v>
      </c>
      <c r="B26" s="4" t="s">
        <v>92</v>
      </c>
      <c r="C26" s="4" t="s">
        <v>19</v>
      </c>
      <c r="D26" s="4" t="s">
        <v>53</v>
      </c>
      <c r="E26" s="4" t="n">
        <v>180</v>
      </c>
      <c r="F26" s="4" t="s">
        <v>93</v>
      </c>
    </row>
    <row r="27" customFormat="false" ht="15" hidden="false" customHeight="false" outlineLevel="0" collapsed="false">
      <c r="A27" s="4" t="n">
        <v>10</v>
      </c>
      <c r="B27" s="4" t="s">
        <v>94</v>
      </c>
      <c r="C27" s="4" t="s">
        <v>9</v>
      </c>
      <c r="D27" s="4" t="s">
        <v>53</v>
      </c>
      <c r="E27" s="4" t="n">
        <v>15000</v>
      </c>
      <c r="F27" s="4" t="s">
        <v>95</v>
      </c>
    </row>
    <row r="28" customFormat="false" ht="15" hidden="false" customHeight="false" outlineLevel="0" collapsed="false">
      <c r="A28" s="4" t="n">
        <v>10</v>
      </c>
      <c r="B28" s="4" t="s">
        <v>94</v>
      </c>
      <c r="C28" s="4" t="s">
        <v>15</v>
      </c>
      <c r="D28" s="4" t="s">
        <v>53</v>
      </c>
      <c r="E28" s="4" t="n">
        <v>76.75</v>
      </c>
      <c r="F28" s="4" t="s">
        <v>96</v>
      </c>
    </row>
    <row r="29" customFormat="false" ht="15" hidden="false" customHeight="false" outlineLevel="0" collapsed="false">
      <c r="A29" s="4" t="n">
        <v>10</v>
      </c>
      <c r="B29" s="4" t="s">
        <v>97</v>
      </c>
      <c r="C29" s="4" t="s">
        <v>11</v>
      </c>
      <c r="D29" s="4" t="s">
        <v>53</v>
      </c>
      <c r="E29" s="4" t="n">
        <v>-1</v>
      </c>
      <c r="F29" s="4" t="s">
        <v>98</v>
      </c>
    </row>
    <row r="30" customFormat="false" ht="15" hidden="false" customHeight="false" outlineLevel="0" collapsed="false">
      <c r="A30" s="4" t="n">
        <v>10</v>
      </c>
      <c r="B30" s="4" t="s">
        <v>97</v>
      </c>
      <c r="C30" s="4" t="s">
        <v>13</v>
      </c>
      <c r="D30" s="4" t="s">
        <v>53</v>
      </c>
      <c r="E30" s="4" t="n">
        <v>-1</v>
      </c>
      <c r="F30" s="4" t="s">
        <v>99</v>
      </c>
    </row>
    <row r="31" customFormat="false" ht="15" hidden="false" customHeight="false" outlineLevel="0" collapsed="false">
      <c r="A31" s="4" t="n">
        <v>10</v>
      </c>
      <c r="B31" s="4" t="s">
        <v>100</v>
      </c>
      <c r="C31" s="4" t="s">
        <v>21</v>
      </c>
      <c r="D31" s="4" t="s">
        <v>53</v>
      </c>
      <c r="E31" s="4" t="n">
        <v>-1</v>
      </c>
      <c r="F31" s="4" t="s">
        <v>101</v>
      </c>
    </row>
    <row r="32" customFormat="false" ht="15" hidden="false" customHeight="false" outlineLevel="0" collapsed="false">
      <c r="A32" s="4" t="n">
        <v>11</v>
      </c>
      <c r="B32" s="4" t="s">
        <v>102</v>
      </c>
      <c r="C32" s="4" t="s">
        <v>9</v>
      </c>
      <c r="D32" s="4" t="s">
        <v>53</v>
      </c>
      <c r="E32" s="4" t="n">
        <v>34</v>
      </c>
      <c r="F32" s="4" t="s">
        <v>103</v>
      </c>
    </row>
    <row r="33" customFormat="false" ht="15" hidden="false" customHeight="false" outlineLevel="0" collapsed="false">
      <c r="A33" s="4" t="n">
        <v>11</v>
      </c>
      <c r="B33" s="4" t="s">
        <v>104</v>
      </c>
      <c r="C33" s="4" t="s">
        <v>9</v>
      </c>
      <c r="D33" s="4" t="s">
        <v>53</v>
      </c>
      <c r="E33" s="4" t="n">
        <v>-865.64</v>
      </c>
      <c r="F33" s="4" t="s">
        <v>105</v>
      </c>
    </row>
    <row r="34" customFormat="false" ht="15" hidden="false" customHeight="false" outlineLevel="0" collapsed="false">
      <c r="A34" s="4" t="n">
        <v>11</v>
      </c>
      <c r="B34" s="4" t="s">
        <v>104</v>
      </c>
      <c r="C34" s="4" t="s">
        <v>11</v>
      </c>
      <c r="D34" s="4" t="s">
        <v>53</v>
      </c>
      <c r="E34" s="4" t="n">
        <v>-2300</v>
      </c>
      <c r="F34" s="4" t="s">
        <v>106</v>
      </c>
    </row>
    <row r="35" customFormat="false" ht="15" hidden="false" customHeight="false" outlineLevel="0" collapsed="false">
      <c r="A35" s="4" t="n">
        <v>11</v>
      </c>
      <c r="B35" s="4" t="s">
        <v>104</v>
      </c>
      <c r="C35" s="4" t="s">
        <v>13</v>
      </c>
      <c r="D35" s="4" t="s">
        <v>53</v>
      </c>
      <c r="E35" s="4" t="n">
        <v>-180</v>
      </c>
      <c r="F35" s="4" t="s">
        <v>107</v>
      </c>
    </row>
    <row r="36" customFormat="false" ht="15" hidden="false" customHeight="false" outlineLevel="0" collapsed="false">
      <c r="A36" s="4" t="n">
        <v>12</v>
      </c>
      <c r="B36" s="4" t="s">
        <v>108</v>
      </c>
      <c r="C36" s="4" t="s">
        <v>11</v>
      </c>
      <c r="D36" s="4" t="s">
        <v>53</v>
      </c>
      <c r="E36" s="4" t="n">
        <v>1</v>
      </c>
      <c r="F36" s="4" t="s">
        <v>109</v>
      </c>
    </row>
    <row r="37" customFormat="false" ht="15" hidden="false" customHeight="false" outlineLevel="0" collapsed="false">
      <c r="A37" s="4" t="n">
        <v>12</v>
      </c>
      <c r="B37" s="4" t="s">
        <v>108</v>
      </c>
      <c r="C37" s="4" t="s">
        <v>13</v>
      </c>
      <c r="D37" s="4" t="s">
        <v>53</v>
      </c>
      <c r="E37" s="4" t="n">
        <v>1</v>
      </c>
      <c r="F37" s="4" t="s">
        <v>78</v>
      </c>
    </row>
    <row r="38" customFormat="false" ht="15" hidden="false" customHeight="false" outlineLevel="0" collapsed="false">
      <c r="A38" s="4" t="n">
        <v>12</v>
      </c>
      <c r="B38" s="4" t="s">
        <v>110</v>
      </c>
      <c r="C38" s="4" t="s">
        <v>9</v>
      </c>
      <c r="D38" s="4" t="s">
        <v>53</v>
      </c>
      <c r="E38" s="4" t="n">
        <v>1</v>
      </c>
      <c r="F38" s="4" t="s">
        <v>111</v>
      </c>
    </row>
    <row r="39" customFormat="false" ht="15" hidden="false" customHeight="false" outlineLevel="0" collapsed="false">
      <c r="A39" s="4" t="n">
        <v>12</v>
      </c>
      <c r="B39" s="4" t="s">
        <v>112</v>
      </c>
      <c r="C39" s="4" t="s">
        <v>13</v>
      </c>
      <c r="D39" s="4" t="s">
        <v>53</v>
      </c>
      <c r="E39" s="4" t="n">
        <v>-550</v>
      </c>
      <c r="F39" s="4" t="s">
        <v>113</v>
      </c>
    </row>
    <row r="40" customFormat="false" ht="15" hidden="false" customHeight="false" outlineLevel="0" collapsed="false">
      <c r="A40" s="4" t="n">
        <v>12</v>
      </c>
      <c r="B40" s="4" t="s">
        <v>112</v>
      </c>
      <c r="C40" s="4" t="s">
        <v>11</v>
      </c>
      <c r="D40" s="4" t="s">
        <v>53</v>
      </c>
      <c r="E40" s="4" t="n">
        <v>-900</v>
      </c>
      <c r="F40" s="4" t="s">
        <v>114</v>
      </c>
    </row>
    <row r="41" customFormat="false" ht="15" hidden="false" customHeight="false" outlineLevel="0" collapsed="false">
      <c r="A41" s="4" t="n">
        <v>12</v>
      </c>
      <c r="B41" s="4" t="s">
        <v>112</v>
      </c>
      <c r="C41" s="4" t="s">
        <v>9</v>
      </c>
      <c r="D41" s="4" t="s">
        <v>53</v>
      </c>
      <c r="E41" s="4" t="n">
        <v>-120</v>
      </c>
      <c r="F41" s="4" t="s">
        <v>115</v>
      </c>
    </row>
    <row r="42" customFormat="false" ht="15" hidden="false" customHeight="false" outlineLevel="0" collapsed="false">
      <c r="A42" s="4" t="n">
        <v>13</v>
      </c>
      <c r="B42" s="4" t="s">
        <v>116</v>
      </c>
      <c r="C42" s="4" t="s">
        <v>9</v>
      </c>
      <c r="D42" s="4" t="s">
        <v>53</v>
      </c>
      <c r="E42" s="4" t="n">
        <v>-1</v>
      </c>
      <c r="F42" s="4" t="s">
        <v>117</v>
      </c>
    </row>
    <row r="43" customFormat="false" ht="15" hidden="false" customHeight="false" outlineLevel="0" collapsed="false">
      <c r="A43" s="4" t="n">
        <v>13</v>
      </c>
      <c r="B43" s="4" t="s">
        <v>118</v>
      </c>
      <c r="C43" s="4" t="s">
        <v>21</v>
      </c>
      <c r="D43" s="4" t="s">
        <v>53</v>
      </c>
      <c r="E43" s="4" t="n">
        <v>-3</v>
      </c>
      <c r="F43" s="4" t="s">
        <v>119</v>
      </c>
    </row>
    <row r="44" customFormat="false" ht="15" hidden="false" customHeight="false" outlineLevel="0" collapsed="false">
      <c r="A44" s="4" t="n">
        <v>13</v>
      </c>
      <c r="B44" s="4" t="s">
        <v>118</v>
      </c>
      <c r="C44" s="4" t="s">
        <v>13</v>
      </c>
      <c r="D44" s="4" t="s">
        <v>53</v>
      </c>
      <c r="E44" s="4" t="n">
        <v>-3</v>
      </c>
      <c r="F44" s="4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46</v>
      </c>
      <c r="B1" s="3" t="s">
        <v>47</v>
      </c>
      <c r="C1" s="3" t="s">
        <v>121</v>
      </c>
    </row>
    <row r="2" customFormat="false" ht="15" hidden="false" customHeight="false" outlineLevel="0" collapsed="false">
      <c r="A2" s="4" t="n">
        <v>2</v>
      </c>
      <c r="B2" s="4" t="s">
        <v>52</v>
      </c>
      <c r="C2" s="4" t="s">
        <v>122</v>
      </c>
    </row>
    <row r="3" customFormat="false" ht="15" hidden="false" customHeight="false" outlineLevel="0" collapsed="false">
      <c r="A3" s="4" t="n">
        <v>3</v>
      </c>
      <c r="B3" s="4" t="s">
        <v>55</v>
      </c>
      <c r="C3" s="4" t="s">
        <v>123</v>
      </c>
    </row>
    <row r="4" customFormat="false" ht="15" hidden="false" customHeight="false" outlineLevel="0" collapsed="false">
      <c r="A4" s="4" t="n">
        <v>4</v>
      </c>
      <c r="B4" s="4" t="s">
        <v>58</v>
      </c>
      <c r="C4" s="4" t="s">
        <v>124</v>
      </c>
    </row>
    <row r="5" customFormat="false" ht="15" hidden="false" customHeight="false" outlineLevel="0" collapsed="false">
      <c r="A5" s="4" t="n">
        <v>5</v>
      </c>
      <c r="B5" s="4" t="s">
        <v>61</v>
      </c>
      <c r="C5" s="4" t="s">
        <v>125</v>
      </c>
    </row>
    <row r="6" customFormat="false" ht="15" hidden="false" customHeight="false" outlineLevel="0" collapsed="false">
      <c r="A6" s="4" t="n">
        <v>5</v>
      </c>
      <c r="B6" s="4" t="s">
        <v>63</v>
      </c>
      <c r="C6" s="4" t="s">
        <v>126</v>
      </c>
    </row>
    <row r="7" customFormat="false" ht="15" hidden="false" customHeight="false" outlineLevel="0" collapsed="false">
      <c r="A7" s="4" t="n">
        <v>5</v>
      </c>
      <c r="B7" s="4" t="s">
        <v>65</v>
      </c>
      <c r="C7" s="4" t="s">
        <v>127</v>
      </c>
    </row>
    <row r="8" customFormat="false" ht="15" hidden="false" customHeight="false" outlineLevel="0" collapsed="false">
      <c r="A8" s="4" t="n">
        <v>6</v>
      </c>
      <c r="B8" s="4" t="s">
        <v>72</v>
      </c>
      <c r="C8" s="4" t="s">
        <v>128</v>
      </c>
    </row>
    <row r="9" customFormat="false" ht="15" hidden="false" customHeight="false" outlineLevel="0" collapsed="false">
      <c r="A9" s="4" t="n">
        <v>6</v>
      </c>
      <c r="B9" s="4" t="s">
        <v>67</v>
      </c>
      <c r="C9" s="4" t="s">
        <v>129</v>
      </c>
    </row>
    <row r="10" customFormat="false" ht="15" hidden="false" customHeight="false" outlineLevel="0" collapsed="false">
      <c r="A10" s="4" t="n">
        <v>6</v>
      </c>
      <c r="B10" s="4" t="s">
        <v>70</v>
      </c>
      <c r="C10" s="4" t="s">
        <v>130</v>
      </c>
    </row>
    <row r="11" customFormat="false" ht="15" hidden="false" customHeight="false" outlineLevel="0" collapsed="false">
      <c r="A11" s="4" t="n">
        <v>7</v>
      </c>
      <c r="B11" s="4" t="s">
        <v>76</v>
      </c>
      <c r="C11" s="4" t="s">
        <v>131</v>
      </c>
    </row>
    <row r="12" customFormat="false" ht="15" hidden="false" customHeight="false" outlineLevel="0" collapsed="false">
      <c r="A12" s="4" t="n">
        <v>7</v>
      </c>
      <c r="B12" s="4" t="s">
        <v>74</v>
      </c>
      <c r="C12" s="4" t="s">
        <v>132</v>
      </c>
    </row>
    <row r="13" customFormat="false" ht="15" hidden="false" customHeight="false" outlineLevel="0" collapsed="false">
      <c r="A13" s="4" t="n">
        <v>8</v>
      </c>
      <c r="B13" s="4" t="s">
        <v>79</v>
      </c>
      <c r="C13" s="4" t="s">
        <v>133</v>
      </c>
    </row>
    <row r="14" customFormat="false" ht="15" hidden="false" customHeight="false" outlineLevel="0" collapsed="false">
      <c r="A14" s="4" t="n">
        <v>8</v>
      </c>
      <c r="B14" s="4" t="s">
        <v>81</v>
      </c>
      <c r="C14" s="4" t="s">
        <v>134</v>
      </c>
    </row>
    <row r="15" customFormat="false" ht="15" hidden="false" customHeight="false" outlineLevel="0" collapsed="false">
      <c r="A15" s="4" t="n">
        <v>8</v>
      </c>
      <c r="B15" s="4" t="s">
        <v>83</v>
      </c>
      <c r="C15" s="4" t="s">
        <v>135</v>
      </c>
    </row>
    <row r="16" customFormat="false" ht="15" hidden="false" customHeight="false" outlineLevel="0" collapsed="false">
      <c r="A16" s="4" t="n">
        <v>9</v>
      </c>
      <c r="B16" s="4" t="s">
        <v>87</v>
      </c>
      <c r="C16" s="4" t="s">
        <v>136</v>
      </c>
    </row>
    <row r="17" customFormat="false" ht="15" hidden="false" customHeight="false" outlineLevel="0" collapsed="false">
      <c r="A17" s="4" t="n">
        <v>9</v>
      </c>
      <c r="B17" s="4" t="s">
        <v>89</v>
      </c>
      <c r="C17" s="4" t="s">
        <v>137</v>
      </c>
    </row>
    <row r="18" customFormat="false" ht="15" hidden="false" customHeight="false" outlineLevel="0" collapsed="false">
      <c r="A18" s="4" t="n">
        <v>9</v>
      </c>
      <c r="B18" s="4" t="s">
        <v>92</v>
      </c>
      <c r="C18" s="4" t="s">
        <v>138</v>
      </c>
    </row>
    <row r="19" customFormat="false" ht="15" hidden="false" customHeight="false" outlineLevel="0" collapsed="false">
      <c r="A19" s="4" t="n">
        <v>10</v>
      </c>
      <c r="B19" s="4" t="s">
        <v>100</v>
      </c>
      <c r="C19" s="4" t="s">
        <v>139</v>
      </c>
    </row>
    <row r="20" customFormat="false" ht="15" hidden="false" customHeight="false" outlineLevel="0" collapsed="false">
      <c r="A20" s="4" t="n">
        <v>10</v>
      </c>
      <c r="B20" s="4" t="s">
        <v>94</v>
      </c>
      <c r="C20" s="4" t="s">
        <v>140</v>
      </c>
    </row>
    <row r="21" customFormat="false" ht="15" hidden="false" customHeight="false" outlineLevel="0" collapsed="false">
      <c r="A21" s="4" t="n">
        <v>10</v>
      </c>
      <c r="B21" s="4" t="s">
        <v>97</v>
      </c>
      <c r="C21" s="4" t="s">
        <v>141</v>
      </c>
    </row>
    <row r="22" customFormat="false" ht="15" hidden="false" customHeight="false" outlineLevel="0" collapsed="false">
      <c r="A22" s="4" t="n">
        <v>11</v>
      </c>
      <c r="B22" s="4" t="s">
        <v>104</v>
      </c>
      <c r="C22" s="4" t="s">
        <v>142</v>
      </c>
    </row>
    <row r="23" customFormat="false" ht="15" hidden="false" customHeight="false" outlineLevel="0" collapsed="false">
      <c r="A23" s="4" t="n">
        <v>11</v>
      </c>
      <c r="B23" s="4" t="s">
        <v>102</v>
      </c>
      <c r="C23" s="4" t="s">
        <v>143</v>
      </c>
    </row>
    <row r="24" customFormat="false" ht="15" hidden="false" customHeight="false" outlineLevel="0" collapsed="false">
      <c r="A24" s="4" t="n">
        <v>12</v>
      </c>
      <c r="B24" s="4" t="s">
        <v>112</v>
      </c>
      <c r="C24" s="4" t="s">
        <v>144</v>
      </c>
    </row>
    <row r="25" customFormat="false" ht="15" hidden="false" customHeight="false" outlineLevel="0" collapsed="false">
      <c r="A25" s="4" t="n">
        <v>12</v>
      </c>
      <c r="B25" s="4" t="s">
        <v>108</v>
      </c>
      <c r="C25" s="4" t="s">
        <v>145</v>
      </c>
    </row>
    <row r="26" customFormat="false" ht="15" hidden="false" customHeight="false" outlineLevel="0" collapsed="false">
      <c r="A26" s="4" t="n">
        <v>12</v>
      </c>
      <c r="B26" s="4" t="s">
        <v>110</v>
      </c>
      <c r="C26" s="4" t="s">
        <v>146</v>
      </c>
    </row>
    <row r="27" customFormat="false" ht="15" hidden="false" customHeight="false" outlineLevel="0" collapsed="false">
      <c r="A27" s="4" t="n">
        <v>13</v>
      </c>
      <c r="B27" s="4" t="s">
        <v>118</v>
      </c>
      <c r="C27" s="4" t="s">
        <v>147</v>
      </c>
    </row>
    <row r="28" customFormat="false" ht="15" hidden="false" customHeight="false" outlineLevel="0" collapsed="false">
      <c r="A28" s="4" t="n">
        <v>13</v>
      </c>
      <c r="B28" s="4" t="s">
        <v>116</v>
      </c>
      <c r="C28" s="4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3" t="s">
        <v>149</v>
      </c>
      <c r="B1" s="3" t="s">
        <v>46</v>
      </c>
      <c r="C1" s="3" t="s">
        <v>150</v>
      </c>
      <c r="D1" s="3" t="s">
        <v>7</v>
      </c>
    </row>
    <row r="2" customFormat="false" ht="15" hidden="false" customHeight="false" outlineLevel="0" collapsed="false">
      <c r="A2" s="4" t="s">
        <v>151</v>
      </c>
      <c r="B2" s="4" t="n">
        <v>1</v>
      </c>
      <c r="C2" s="4" t="s">
        <v>152</v>
      </c>
      <c r="D2" s="4" t="s">
        <v>153</v>
      </c>
    </row>
    <row r="3" customFormat="false" ht="15" hidden="false" customHeight="false" outlineLevel="0" collapsed="false">
      <c r="A3" s="4" t="s">
        <v>151</v>
      </c>
      <c r="B3" s="4" t="n">
        <v>3</v>
      </c>
      <c r="C3" s="4" t="s">
        <v>154</v>
      </c>
      <c r="D3" s="4" t="s">
        <v>155</v>
      </c>
    </row>
    <row r="4" customFormat="false" ht="15" hidden="false" customHeight="false" outlineLevel="0" collapsed="false">
      <c r="A4" s="4" t="s">
        <v>151</v>
      </c>
      <c r="B4" s="4" t="n">
        <v>4</v>
      </c>
      <c r="C4" s="4" t="s">
        <v>156</v>
      </c>
      <c r="D4" s="4" t="s">
        <v>157</v>
      </c>
    </row>
    <row r="5" customFormat="false" ht="15" hidden="false" customHeight="false" outlineLevel="0" collapsed="false">
      <c r="A5" s="4" t="s">
        <v>151</v>
      </c>
      <c r="B5" s="4" t="n">
        <v>6</v>
      </c>
      <c r="C5" s="4" t="s">
        <v>158</v>
      </c>
      <c r="D5" s="4" t="s">
        <v>155</v>
      </c>
    </row>
    <row r="6" customFormat="false" ht="15" hidden="false" customHeight="false" outlineLevel="0" collapsed="false">
      <c r="A6" s="4" t="s">
        <v>151</v>
      </c>
      <c r="B6" s="4" t="n">
        <v>6</v>
      </c>
      <c r="C6" s="4" t="s">
        <v>159</v>
      </c>
      <c r="D6" s="4" t="s">
        <v>160</v>
      </c>
    </row>
    <row r="7" customFormat="false" ht="15" hidden="false" customHeight="false" outlineLevel="0" collapsed="false">
      <c r="A7" s="4" t="s">
        <v>151</v>
      </c>
      <c r="B7" s="4" t="n">
        <v>6</v>
      </c>
      <c r="C7" s="4" t="s">
        <v>161</v>
      </c>
      <c r="D7" s="4" t="s">
        <v>155</v>
      </c>
    </row>
    <row r="8" customFormat="false" ht="15" hidden="false" customHeight="false" outlineLevel="0" collapsed="false">
      <c r="A8" s="4" t="s">
        <v>151</v>
      </c>
      <c r="B8" s="4" t="n">
        <v>7</v>
      </c>
      <c r="C8" s="4" t="s">
        <v>162</v>
      </c>
      <c r="D8" s="4" t="s">
        <v>160</v>
      </c>
    </row>
    <row r="9" customFormat="false" ht="15" hidden="false" customHeight="false" outlineLevel="0" collapsed="false">
      <c r="A9" s="4" t="s">
        <v>151</v>
      </c>
      <c r="B9" s="4" t="n">
        <v>7</v>
      </c>
      <c r="C9" s="4" t="s">
        <v>163</v>
      </c>
      <c r="D9" s="4" t="s">
        <v>160</v>
      </c>
    </row>
    <row r="10" customFormat="false" ht="15" hidden="false" customHeight="false" outlineLevel="0" collapsed="false">
      <c r="A10" s="4" t="s">
        <v>151</v>
      </c>
      <c r="B10" s="4" t="n">
        <v>8</v>
      </c>
      <c r="C10" s="4" t="s">
        <v>164</v>
      </c>
      <c r="D10" s="4" t="s">
        <v>165</v>
      </c>
    </row>
    <row r="11" customFormat="false" ht="15" hidden="false" customHeight="false" outlineLevel="0" collapsed="false">
      <c r="A11" s="4" t="s">
        <v>151</v>
      </c>
      <c r="B11" s="4" t="n">
        <v>9</v>
      </c>
      <c r="C11" s="4" t="s">
        <v>166</v>
      </c>
      <c r="D11" s="4" t="s">
        <v>167</v>
      </c>
    </row>
    <row r="12" customFormat="false" ht="15" hidden="false" customHeight="false" outlineLevel="0" collapsed="false">
      <c r="A12" s="4" t="s">
        <v>151</v>
      </c>
      <c r="B12" s="4" t="n">
        <v>10</v>
      </c>
      <c r="C12" s="4" t="s">
        <v>168</v>
      </c>
      <c r="D12" s="4" t="s">
        <v>169</v>
      </c>
    </row>
    <row r="13" customFormat="false" ht="15" hidden="false" customHeight="false" outlineLevel="0" collapsed="false">
      <c r="A13" s="4" t="s">
        <v>170</v>
      </c>
      <c r="B13" s="4" t="n">
        <v>1</v>
      </c>
      <c r="C13" s="4" t="s">
        <v>152</v>
      </c>
      <c r="D13" s="4" t="s">
        <v>171</v>
      </c>
    </row>
    <row r="14" customFormat="false" ht="15" hidden="false" customHeight="false" outlineLevel="0" collapsed="false">
      <c r="A14" s="4" t="s">
        <v>170</v>
      </c>
      <c r="B14" s="4" t="n">
        <v>3</v>
      </c>
      <c r="C14" s="4" t="s">
        <v>154</v>
      </c>
      <c r="D14" s="4" t="s">
        <v>155</v>
      </c>
    </row>
    <row r="15" customFormat="false" ht="15" hidden="false" customHeight="false" outlineLevel="0" collapsed="false">
      <c r="A15" s="4" t="s">
        <v>170</v>
      </c>
      <c r="B15" s="4" t="n">
        <v>4</v>
      </c>
      <c r="C15" s="4" t="s">
        <v>156</v>
      </c>
      <c r="D15" s="4" t="s">
        <v>172</v>
      </c>
    </row>
    <row r="16" customFormat="false" ht="15" hidden="false" customHeight="false" outlineLevel="0" collapsed="false">
      <c r="A16" s="4" t="s">
        <v>170</v>
      </c>
      <c r="B16" s="4" t="n">
        <v>6</v>
      </c>
      <c r="C16" s="4" t="s">
        <v>158</v>
      </c>
      <c r="D16" s="4" t="s">
        <v>160</v>
      </c>
    </row>
    <row r="17" customFormat="false" ht="15" hidden="false" customHeight="false" outlineLevel="0" collapsed="false">
      <c r="A17" s="4" t="s">
        <v>170</v>
      </c>
      <c r="B17" s="4" t="n">
        <v>6</v>
      </c>
      <c r="C17" s="4" t="s">
        <v>159</v>
      </c>
      <c r="D17" s="4" t="s">
        <v>160</v>
      </c>
    </row>
    <row r="18" customFormat="false" ht="15" hidden="false" customHeight="false" outlineLevel="0" collapsed="false">
      <c r="A18" s="4" t="s">
        <v>170</v>
      </c>
      <c r="B18" s="4" t="n">
        <v>6</v>
      </c>
      <c r="C18" s="4" t="s">
        <v>161</v>
      </c>
      <c r="D18" s="4" t="s">
        <v>160</v>
      </c>
    </row>
    <row r="19" customFormat="false" ht="15" hidden="false" customHeight="false" outlineLevel="0" collapsed="false">
      <c r="A19" s="4" t="s">
        <v>170</v>
      </c>
      <c r="B19" s="4" t="n">
        <v>7</v>
      </c>
      <c r="C19" s="4" t="s">
        <v>162</v>
      </c>
      <c r="D19" s="4" t="s">
        <v>155</v>
      </c>
    </row>
    <row r="20" customFormat="false" ht="15" hidden="false" customHeight="false" outlineLevel="0" collapsed="false">
      <c r="A20" s="4" t="s">
        <v>170</v>
      </c>
      <c r="B20" s="4" t="n">
        <v>7</v>
      </c>
      <c r="C20" s="4" t="s">
        <v>163</v>
      </c>
      <c r="D20" s="4" t="s">
        <v>155</v>
      </c>
    </row>
    <row r="21" customFormat="false" ht="15" hidden="false" customHeight="false" outlineLevel="0" collapsed="false">
      <c r="A21" s="4" t="s">
        <v>170</v>
      </c>
      <c r="B21" s="4" t="n">
        <v>8</v>
      </c>
      <c r="C21" s="4" t="s">
        <v>164</v>
      </c>
      <c r="D21" s="4" t="s">
        <v>173</v>
      </c>
    </row>
    <row r="22" customFormat="false" ht="15" hidden="false" customHeight="false" outlineLevel="0" collapsed="false">
      <c r="A22" s="4" t="s">
        <v>170</v>
      </c>
      <c r="B22" s="4" t="n">
        <v>9</v>
      </c>
      <c r="C22" s="4" t="s">
        <v>166</v>
      </c>
      <c r="D22" s="4" t="s">
        <v>174</v>
      </c>
    </row>
    <row r="23" customFormat="false" ht="15" hidden="false" customHeight="false" outlineLevel="0" collapsed="false">
      <c r="A23" s="4" t="s">
        <v>170</v>
      </c>
      <c r="B23" s="4" t="n">
        <v>10</v>
      </c>
      <c r="C23" s="4" t="s">
        <v>168</v>
      </c>
      <c r="D23" s="4" t="s">
        <v>175</v>
      </c>
    </row>
    <row r="24" customFormat="false" ht="15" hidden="false" customHeight="false" outlineLevel="0" collapsed="false">
      <c r="A24" s="4" t="s">
        <v>176</v>
      </c>
      <c r="B24" s="4" t="n">
        <v>1</v>
      </c>
      <c r="C24" s="4" t="s">
        <v>152</v>
      </c>
      <c r="D24" s="4" t="s">
        <v>171</v>
      </c>
    </row>
    <row r="25" customFormat="false" ht="15" hidden="false" customHeight="false" outlineLevel="0" collapsed="false">
      <c r="A25" s="4" t="s">
        <v>176</v>
      </c>
      <c r="B25" s="4" t="n">
        <v>3</v>
      </c>
      <c r="C25" s="4" t="s">
        <v>154</v>
      </c>
      <c r="D25" s="4" t="s">
        <v>155</v>
      </c>
    </row>
    <row r="26" customFormat="false" ht="15" hidden="false" customHeight="false" outlineLevel="0" collapsed="false">
      <c r="A26" s="4" t="s">
        <v>176</v>
      </c>
      <c r="B26" s="4" t="n">
        <v>4</v>
      </c>
      <c r="C26" s="4" t="s">
        <v>156</v>
      </c>
      <c r="D26" s="4" t="s">
        <v>157</v>
      </c>
    </row>
    <row r="27" customFormat="false" ht="15" hidden="false" customHeight="false" outlineLevel="0" collapsed="false">
      <c r="A27" s="4" t="s">
        <v>176</v>
      </c>
      <c r="B27" s="4" t="n">
        <v>6</v>
      </c>
      <c r="C27" s="4" t="s">
        <v>158</v>
      </c>
      <c r="D27" s="4" t="s">
        <v>155</v>
      </c>
    </row>
    <row r="28" customFormat="false" ht="15" hidden="false" customHeight="false" outlineLevel="0" collapsed="false">
      <c r="A28" s="4" t="s">
        <v>176</v>
      </c>
      <c r="B28" s="4" t="n">
        <v>6</v>
      </c>
      <c r="C28" s="4" t="s">
        <v>159</v>
      </c>
      <c r="D28" s="4" t="s">
        <v>155</v>
      </c>
    </row>
    <row r="29" customFormat="false" ht="15" hidden="false" customHeight="false" outlineLevel="0" collapsed="false">
      <c r="A29" s="4" t="s">
        <v>176</v>
      </c>
      <c r="B29" s="4" t="n">
        <v>6</v>
      </c>
      <c r="C29" s="4" t="s">
        <v>161</v>
      </c>
      <c r="D29" s="4" t="s">
        <v>160</v>
      </c>
    </row>
    <row r="30" customFormat="false" ht="15" hidden="false" customHeight="false" outlineLevel="0" collapsed="false">
      <c r="A30" s="4" t="s">
        <v>176</v>
      </c>
      <c r="B30" s="4" t="n">
        <v>7</v>
      </c>
      <c r="C30" s="4" t="s">
        <v>162</v>
      </c>
      <c r="D30" s="4" t="s">
        <v>160</v>
      </c>
    </row>
    <row r="31" customFormat="false" ht="15" hidden="false" customHeight="false" outlineLevel="0" collapsed="false">
      <c r="A31" s="4" t="s">
        <v>176</v>
      </c>
      <c r="B31" s="4" t="n">
        <v>7</v>
      </c>
      <c r="C31" s="4" t="s">
        <v>163</v>
      </c>
      <c r="D31" s="4" t="s">
        <v>155</v>
      </c>
    </row>
    <row r="32" customFormat="false" ht="15" hidden="false" customHeight="false" outlineLevel="0" collapsed="false">
      <c r="A32" s="4" t="s">
        <v>176</v>
      </c>
      <c r="B32" s="4" t="n">
        <v>8</v>
      </c>
      <c r="C32" s="4" t="s">
        <v>164</v>
      </c>
      <c r="D32" s="4" t="s">
        <v>177</v>
      </c>
    </row>
    <row r="33" customFormat="false" ht="15" hidden="false" customHeight="false" outlineLevel="0" collapsed="false">
      <c r="A33" s="4" t="s">
        <v>176</v>
      </c>
      <c r="B33" s="4" t="n">
        <v>9</v>
      </c>
      <c r="C33" s="4" t="s">
        <v>166</v>
      </c>
      <c r="D33" s="4" t="s">
        <v>178</v>
      </c>
    </row>
    <row r="34" customFormat="false" ht="15" hidden="false" customHeight="false" outlineLevel="0" collapsed="false">
      <c r="A34" s="4" t="s">
        <v>176</v>
      </c>
      <c r="B34" s="4" t="n">
        <v>10</v>
      </c>
      <c r="C34" s="4" t="s">
        <v>168</v>
      </c>
      <c r="D34" s="4" t="s">
        <v>169</v>
      </c>
    </row>
    <row r="35" customFormat="false" ht="15" hidden="false" customHeight="false" outlineLevel="0" collapsed="false">
      <c r="A35" s="4" t="s">
        <v>179</v>
      </c>
      <c r="B35" s="4" t="n">
        <v>1</v>
      </c>
      <c r="C35" s="4" t="s">
        <v>152</v>
      </c>
      <c r="D35" s="4" t="s">
        <v>153</v>
      </c>
    </row>
    <row r="36" customFormat="false" ht="15" hidden="false" customHeight="false" outlineLevel="0" collapsed="false">
      <c r="A36" s="4" t="s">
        <v>179</v>
      </c>
      <c r="B36" s="4" t="n">
        <v>3</v>
      </c>
      <c r="C36" s="4" t="s">
        <v>154</v>
      </c>
      <c r="D36" s="4" t="s">
        <v>160</v>
      </c>
    </row>
    <row r="37" customFormat="false" ht="15" hidden="false" customHeight="false" outlineLevel="0" collapsed="false">
      <c r="A37" s="4" t="s">
        <v>179</v>
      </c>
      <c r="B37" s="4" t="n">
        <v>4</v>
      </c>
      <c r="C37" s="4" t="s">
        <v>156</v>
      </c>
      <c r="D37" s="4" t="s">
        <v>157</v>
      </c>
    </row>
    <row r="38" customFormat="false" ht="15" hidden="false" customHeight="false" outlineLevel="0" collapsed="false">
      <c r="A38" s="4" t="s">
        <v>179</v>
      </c>
      <c r="B38" s="4" t="n">
        <v>6</v>
      </c>
      <c r="C38" s="4" t="s">
        <v>158</v>
      </c>
      <c r="D38" s="4" t="s">
        <v>155</v>
      </c>
    </row>
    <row r="39" customFormat="false" ht="15" hidden="false" customHeight="false" outlineLevel="0" collapsed="false">
      <c r="A39" s="4" t="s">
        <v>179</v>
      </c>
      <c r="B39" s="4" t="n">
        <v>6</v>
      </c>
      <c r="C39" s="4" t="s">
        <v>159</v>
      </c>
      <c r="D39" s="4" t="s">
        <v>155</v>
      </c>
    </row>
    <row r="40" customFormat="false" ht="15" hidden="false" customHeight="false" outlineLevel="0" collapsed="false">
      <c r="A40" s="4" t="s">
        <v>179</v>
      </c>
      <c r="B40" s="4" t="n">
        <v>6</v>
      </c>
      <c r="C40" s="4" t="s">
        <v>161</v>
      </c>
      <c r="D40" s="4" t="s">
        <v>160</v>
      </c>
    </row>
    <row r="41" customFormat="false" ht="15" hidden="false" customHeight="false" outlineLevel="0" collapsed="false">
      <c r="A41" s="4" t="s">
        <v>179</v>
      </c>
      <c r="B41" s="4" t="n">
        <v>7</v>
      </c>
      <c r="C41" s="4" t="s">
        <v>162</v>
      </c>
      <c r="D41" s="4" t="s">
        <v>160</v>
      </c>
    </row>
    <row r="42" customFormat="false" ht="15" hidden="false" customHeight="false" outlineLevel="0" collapsed="false">
      <c r="A42" s="4" t="s">
        <v>179</v>
      </c>
      <c r="B42" s="4" t="n">
        <v>7</v>
      </c>
      <c r="C42" s="4" t="s">
        <v>163</v>
      </c>
      <c r="D42" s="4" t="s">
        <v>160</v>
      </c>
    </row>
    <row r="43" customFormat="false" ht="15" hidden="false" customHeight="false" outlineLevel="0" collapsed="false">
      <c r="A43" s="4" t="s">
        <v>179</v>
      </c>
      <c r="B43" s="4" t="n">
        <v>8</v>
      </c>
      <c r="C43" s="4" t="s">
        <v>164</v>
      </c>
      <c r="D43" s="4" t="s">
        <v>180</v>
      </c>
    </row>
    <row r="44" customFormat="false" ht="15" hidden="false" customHeight="false" outlineLevel="0" collapsed="false">
      <c r="A44" s="4" t="s">
        <v>179</v>
      </c>
      <c r="B44" s="4" t="n">
        <v>9</v>
      </c>
      <c r="C44" s="4" t="s">
        <v>166</v>
      </c>
      <c r="D44" s="4" t="s">
        <v>167</v>
      </c>
    </row>
    <row r="45" customFormat="false" ht="15" hidden="false" customHeight="false" outlineLevel="0" collapsed="false">
      <c r="A45" s="4" t="s">
        <v>179</v>
      </c>
      <c r="B45" s="4" t="n">
        <v>10</v>
      </c>
      <c r="C45" s="4" t="s">
        <v>168</v>
      </c>
      <c r="D45" s="4" t="s">
        <v>181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3" t="s">
        <v>149</v>
      </c>
      <c r="B1" s="3" t="s">
        <v>46</v>
      </c>
      <c r="C1" s="3" t="s">
        <v>47</v>
      </c>
      <c r="D1" s="3" t="s">
        <v>7</v>
      </c>
    </row>
    <row r="2" customFormat="false" ht="15" hidden="false" customHeight="false" outlineLevel="0" collapsed="false">
      <c r="A2" s="4" t="s">
        <v>151</v>
      </c>
      <c r="B2" s="4" t="n">
        <v>2</v>
      </c>
      <c r="C2" s="4" t="s">
        <v>52</v>
      </c>
      <c r="D2" s="4" t="n">
        <v>0.1</v>
      </c>
    </row>
    <row r="3" customFormat="false" ht="15" hidden="false" customHeight="false" outlineLevel="0" collapsed="false">
      <c r="A3" s="4" t="s">
        <v>151</v>
      </c>
      <c r="B3" s="4" t="n">
        <v>3</v>
      </c>
      <c r="C3" s="4" t="s">
        <v>55</v>
      </c>
      <c r="D3" s="4" t="n">
        <v>0</v>
      </c>
    </row>
    <row r="4" customFormat="false" ht="15" hidden="false" customHeight="false" outlineLevel="0" collapsed="false">
      <c r="A4" s="4" t="s">
        <v>151</v>
      </c>
      <c r="B4" s="4" t="n">
        <v>4</v>
      </c>
      <c r="C4" s="4" t="s">
        <v>58</v>
      </c>
      <c r="D4" s="4" t="n">
        <v>0</v>
      </c>
    </row>
    <row r="5" customFormat="false" ht="15" hidden="false" customHeight="false" outlineLevel="0" collapsed="false">
      <c r="A5" s="4" t="s">
        <v>151</v>
      </c>
      <c r="B5" s="4" t="n">
        <v>5</v>
      </c>
      <c r="C5" s="4" t="s">
        <v>61</v>
      </c>
      <c r="D5" s="4" t="n">
        <v>10.5</v>
      </c>
    </row>
    <row r="6" customFormat="false" ht="15" hidden="false" customHeight="false" outlineLevel="0" collapsed="false">
      <c r="A6" s="4" t="s">
        <v>151</v>
      </c>
      <c r="B6" s="4" t="n">
        <v>5</v>
      </c>
      <c r="C6" s="4" t="s">
        <v>63</v>
      </c>
      <c r="D6" s="4" t="n">
        <v>0.45</v>
      </c>
    </row>
    <row r="7" customFormat="false" ht="15" hidden="false" customHeight="false" outlineLevel="0" collapsed="false">
      <c r="A7" s="4" t="s">
        <v>151</v>
      </c>
      <c r="B7" s="4" t="n">
        <v>5</v>
      </c>
      <c r="C7" s="4" t="s">
        <v>65</v>
      </c>
      <c r="D7" s="4" t="n">
        <v>54.2025</v>
      </c>
    </row>
    <row r="8" customFormat="false" ht="15" hidden="false" customHeight="false" outlineLevel="0" collapsed="false">
      <c r="A8" s="4" t="s">
        <v>151</v>
      </c>
      <c r="B8" s="4" t="n">
        <v>6</v>
      </c>
      <c r="C8" s="4" t="s">
        <v>67</v>
      </c>
      <c r="D8" s="4" t="n">
        <v>1520</v>
      </c>
    </row>
    <row r="9" customFormat="false" ht="15" hidden="false" customHeight="false" outlineLevel="0" collapsed="false">
      <c r="A9" s="4" t="s">
        <v>151</v>
      </c>
      <c r="B9" s="4" t="n">
        <v>6</v>
      </c>
      <c r="C9" s="4" t="s">
        <v>70</v>
      </c>
      <c r="D9" s="4" t="n">
        <v>185</v>
      </c>
    </row>
    <row r="10" customFormat="false" ht="15" hidden="false" customHeight="false" outlineLevel="0" collapsed="false">
      <c r="A10" s="4" t="s">
        <v>151</v>
      </c>
      <c r="B10" s="4" t="n">
        <v>6</v>
      </c>
      <c r="C10" s="4" t="s">
        <v>72</v>
      </c>
      <c r="D10" s="4" t="n">
        <v>1</v>
      </c>
    </row>
    <row r="11" customFormat="false" ht="15" hidden="false" customHeight="false" outlineLevel="0" collapsed="false">
      <c r="A11" s="4" t="s">
        <v>151</v>
      </c>
      <c r="B11" s="4" t="n">
        <v>7</v>
      </c>
      <c r="C11" s="4" t="s">
        <v>74</v>
      </c>
      <c r="D11" s="4" t="n">
        <v>0</v>
      </c>
    </row>
    <row r="12" customFormat="false" ht="15" hidden="false" customHeight="false" outlineLevel="0" collapsed="false">
      <c r="A12" s="4" t="s">
        <v>151</v>
      </c>
      <c r="B12" s="4" t="n">
        <v>7</v>
      </c>
      <c r="C12" s="4" t="s">
        <v>76</v>
      </c>
      <c r="D12" s="4" t="n">
        <v>0</v>
      </c>
    </row>
    <row r="13" customFormat="false" ht="15" hidden="false" customHeight="false" outlineLevel="0" collapsed="false">
      <c r="A13" s="4" t="s">
        <v>151</v>
      </c>
      <c r="B13" s="4" t="n">
        <v>8</v>
      </c>
      <c r="C13" s="4" t="s">
        <v>79</v>
      </c>
      <c r="D13" s="4" t="n">
        <v>7</v>
      </c>
    </row>
    <row r="14" customFormat="false" ht="15" hidden="false" customHeight="false" outlineLevel="0" collapsed="false">
      <c r="A14" s="4" t="s">
        <v>151</v>
      </c>
      <c r="B14" s="4" t="n">
        <v>8</v>
      </c>
      <c r="C14" s="4" t="s">
        <v>81</v>
      </c>
      <c r="D14" s="4" t="n">
        <v>600</v>
      </c>
    </row>
    <row r="15" customFormat="false" ht="15" hidden="false" customHeight="false" outlineLevel="0" collapsed="false">
      <c r="A15" s="4" t="s">
        <v>151</v>
      </c>
      <c r="B15" s="4" t="n">
        <v>8</v>
      </c>
      <c r="C15" s="4" t="s">
        <v>83</v>
      </c>
      <c r="D15" s="4" t="n">
        <v>-1.5</v>
      </c>
    </row>
    <row r="16" customFormat="false" ht="15" hidden="false" customHeight="false" outlineLevel="0" collapsed="false">
      <c r="A16" s="4" t="s">
        <v>151</v>
      </c>
      <c r="B16" s="4" t="n">
        <v>9</v>
      </c>
      <c r="C16" s="4" t="s">
        <v>87</v>
      </c>
      <c r="D16" s="4" t="n">
        <v>194</v>
      </c>
    </row>
    <row r="17" customFormat="false" ht="15" hidden="false" customHeight="false" outlineLevel="0" collapsed="false">
      <c r="A17" s="4" t="s">
        <v>151</v>
      </c>
      <c r="B17" s="4" t="n">
        <v>9</v>
      </c>
      <c r="C17" s="4" t="s">
        <v>89</v>
      </c>
      <c r="D17" s="4" t="n">
        <v>22.68</v>
      </c>
    </row>
    <row r="18" customFormat="false" ht="15" hidden="false" customHeight="false" outlineLevel="0" collapsed="false">
      <c r="A18" s="4" t="s">
        <v>151</v>
      </c>
      <c r="B18" s="4" t="n">
        <v>9</v>
      </c>
      <c r="C18" s="4" t="s">
        <v>92</v>
      </c>
      <c r="D18" s="4" t="n">
        <v>0.025</v>
      </c>
    </row>
    <row r="19" customFormat="false" ht="15" hidden="false" customHeight="false" outlineLevel="0" collapsed="false">
      <c r="A19" s="4" t="s">
        <v>151</v>
      </c>
      <c r="B19" s="4" t="n">
        <v>10</v>
      </c>
      <c r="C19" s="4" t="s">
        <v>94</v>
      </c>
      <c r="D19" s="4" t="n">
        <v>-0.0237</v>
      </c>
    </row>
    <row r="20" customFormat="false" ht="15" hidden="false" customHeight="false" outlineLevel="0" collapsed="false">
      <c r="A20" s="4" t="s">
        <v>151</v>
      </c>
      <c r="B20" s="4" t="n">
        <v>10</v>
      </c>
      <c r="C20" s="4" t="s">
        <v>97</v>
      </c>
      <c r="D20" s="4" t="n">
        <v>0</v>
      </c>
    </row>
    <row r="21" customFormat="false" ht="15" hidden="false" customHeight="false" outlineLevel="0" collapsed="false">
      <c r="A21" s="4" t="s">
        <v>151</v>
      </c>
      <c r="B21" s="4" t="n">
        <v>10</v>
      </c>
      <c r="C21" s="4" t="s">
        <v>100</v>
      </c>
      <c r="D21" s="4" t="n">
        <v>2</v>
      </c>
    </row>
    <row r="22" customFormat="false" ht="15" hidden="false" customHeight="false" outlineLevel="0" collapsed="false">
      <c r="A22" s="4" t="s">
        <v>151</v>
      </c>
      <c r="B22" s="4" t="n">
        <v>11</v>
      </c>
      <c r="C22" s="4" t="s">
        <v>102</v>
      </c>
      <c r="D22" s="4" t="n">
        <v>-4.02</v>
      </c>
    </row>
    <row r="23" customFormat="false" ht="15" hidden="false" customHeight="false" outlineLevel="0" collapsed="false">
      <c r="A23" s="4" t="s">
        <v>151</v>
      </c>
      <c r="B23" s="4" t="n">
        <v>11</v>
      </c>
      <c r="C23" s="4" t="s">
        <v>104</v>
      </c>
      <c r="D23" s="4" t="n">
        <v>0</v>
      </c>
    </row>
    <row r="24" customFormat="false" ht="15" hidden="false" customHeight="false" outlineLevel="0" collapsed="false">
      <c r="A24" s="4" t="s">
        <v>151</v>
      </c>
      <c r="B24" s="4" t="n">
        <v>12</v>
      </c>
      <c r="C24" s="4" t="s">
        <v>108</v>
      </c>
      <c r="D24" s="4" t="n">
        <v>1750</v>
      </c>
    </row>
    <row r="25" customFormat="false" ht="15" hidden="false" customHeight="false" outlineLevel="0" collapsed="false">
      <c r="A25" s="4" t="s">
        <v>151</v>
      </c>
      <c r="B25" s="4" t="n">
        <v>12</v>
      </c>
      <c r="C25" s="4" t="s">
        <v>110</v>
      </c>
      <c r="D25" s="4" t="n">
        <v>20</v>
      </c>
    </row>
    <row r="26" customFormat="false" ht="15" hidden="false" customHeight="false" outlineLevel="0" collapsed="false">
      <c r="A26" s="4" t="s">
        <v>151</v>
      </c>
      <c r="B26" s="4" t="n">
        <v>12</v>
      </c>
      <c r="C26" s="4" t="s">
        <v>112</v>
      </c>
      <c r="D26" s="4" t="n">
        <v>1</v>
      </c>
    </row>
    <row r="27" customFormat="false" ht="15" hidden="false" customHeight="false" outlineLevel="0" collapsed="false">
      <c r="A27" s="4" t="s">
        <v>151</v>
      </c>
      <c r="B27" s="4" t="n">
        <v>13</v>
      </c>
      <c r="C27" s="4" t="s">
        <v>116</v>
      </c>
      <c r="D27" s="4" t="n">
        <v>16.8</v>
      </c>
    </row>
    <row r="28" customFormat="false" ht="15" hidden="false" customHeight="false" outlineLevel="0" collapsed="false">
      <c r="A28" s="4" t="s">
        <v>151</v>
      </c>
      <c r="B28" s="4" t="n">
        <v>13</v>
      </c>
      <c r="C28" s="4" t="s">
        <v>118</v>
      </c>
      <c r="D28" s="4" t="n">
        <v>0</v>
      </c>
    </row>
    <row r="29" customFormat="false" ht="15" hidden="false" customHeight="false" outlineLevel="0" collapsed="false">
      <c r="A29" s="4" t="s">
        <v>170</v>
      </c>
      <c r="B29" s="4" t="n">
        <v>2</v>
      </c>
      <c r="C29" s="4" t="s">
        <v>52</v>
      </c>
      <c r="D29" s="4" t="n">
        <v>-0.05</v>
      </c>
    </row>
    <row r="30" customFormat="false" ht="15" hidden="false" customHeight="false" outlineLevel="0" collapsed="false">
      <c r="A30" s="4" t="s">
        <v>170</v>
      </c>
      <c r="B30" s="4" t="n">
        <v>3</v>
      </c>
      <c r="C30" s="4" t="s">
        <v>55</v>
      </c>
      <c r="D30" s="4" t="n">
        <v>0</v>
      </c>
    </row>
    <row r="31" customFormat="false" ht="15" hidden="false" customHeight="false" outlineLevel="0" collapsed="false">
      <c r="A31" s="4" t="s">
        <v>170</v>
      </c>
      <c r="B31" s="4" t="n">
        <v>4</v>
      </c>
      <c r="C31" s="4" t="s">
        <v>58</v>
      </c>
      <c r="D31" s="4" t="n">
        <v>1.54</v>
      </c>
    </row>
    <row r="32" customFormat="false" ht="15" hidden="false" customHeight="false" outlineLevel="0" collapsed="false">
      <c r="A32" s="4" t="s">
        <v>170</v>
      </c>
      <c r="B32" s="4" t="n">
        <v>5</v>
      </c>
      <c r="C32" s="4" t="s">
        <v>61</v>
      </c>
      <c r="D32" s="4" t="n">
        <v>-8.9</v>
      </c>
    </row>
    <row r="33" customFormat="false" ht="15" hidden="false" customHeight="false" outlineLevel="0" collapsed="false">
      <c r="A33" s="4" t="s">
        <v>170</v>
      </c>
      <c r="B33" s="4" t="n">
        <v>5</v>
      </c>
      <c r="C33" s="4" t="s">
        <v>63</v>
      </c>
      <c r="D33" s="4" t="n">
        <v>0.45</v>
      </c>
    </row>
    <row r="34" customFormat="false" ht="15" hidden="false" customHeight="false" outlineLevel="0" collapsed="false">
      <c r="A34" s="4" t="s">
        <v>170</v>
      </c>
      <c r="B34" s="4" t="n">
        <v>5</v>
      </c>
      <c r="C34" s="4" t="s">
        <v>65</v>
      </c>
      <c r="D34" s="4" t="n">
        <v>54.2025</v>
      </c>
    </row>
    <row r="35" customFormat="false" ht="15" hidden="false" customHeight="false" outlineLevel="0" collapsed="false">
      <c r="A35" s="4" t="s">
        <v>170</v>
      </c>
      <c r="B35" s="4" t="n">
        <v>6</v>
      </c>
      <c r="C35" s="4" t="s">
        <v>67</v>
      </c>
      <c r="D35" s="4" t="n">
        <v>0</v>
      </c>
    </row>
    <row r="36" customFormat="false" ht="15" hidden="false" customHeight="false" outlineLevel="0" collapsed="false">
      <c r="A36" s="4" t="s">
        <v>170</v>
      </c>
      <c r="B36" s="4" t="n">
        <v>6</v>
      </c>
      <c r="C36" s="4" t="s">
        <v>70</v>
      </c>
      <c r="D36" s="4" t="n">
        <v>0</v>
      </c>
    </row>
    <row r="37" customFormat="false" ht="15" hidden="false" customHeight="false" outlineLevel="0" collapsed="false">
      <c r="A37" s="4" t="s">
        <v>170</v>
      </c>
      <c r="B37" s="4" t="n">
        <v>6</v>
      </c>
      <c r="C37" s="4" t="s">
        <v>72</v>
      </c>
      <c r="D37" s="4" t="n">
        <v>0</v>
      </c>
    </row>
    <row r="38" customFormat="false" ht="15" hidden="false" customHeight="false" outlineLevel="0" collapsed="false">
      <c r="A38" s="4" t="s">
        <v>170</v>
      </c>
      <c r="B38" s="4" t="n">
        <v>7</v>
      </c>
      <c r="C38" s="4" t="s">
        <v>74</v>
      </c>
      <c r="D38" s="4" t="n">
        <v>189</v>
      </c>
    </row>
    <row r="39" customFormat="false" ht="15" hidden="false" customHeight="false" outlineLevel="0" collapsed="false">
      <c r="A39" s="4" t="s">
        <v>170</v>
      </c>
      <c r="B39" s="4" t="n">
        <v>7</v>
      </c>
      <c r="C39" s="4" t="s">
        <v>76</v>
      </c>
      <c r="D39" s="4" t="n">
        <v>1</v>
      </c>
    </row>
    <row r="40" customFormat="false" ht="15" hidden="false" customHeight="false" outlineLevel="0" collapsed="false">
      <c r="A40" s="4" t="s">
        <v>170</v>
      </c>
      <c r="B40" s="4" t="n">
        <v>8</v>
      </c>
      <c r="C40" s="4" t="s">
        <v>79</v>
      </c>
      <c r="D40" s="4" t="n">
        <v>7</v>
      </c>
    </row>
    <row r="41" customFormat="false" ht="15" hidden="false" customHeight="false" outlineLevel="0" collapsed="false">
      <c r="A41" s="4" t="s">
        <v>170</v>
      </c>
      <c r="B41" s="4" t="n">
        <v>8</v>
      </c>
      <c r="C41" s="4" t="s">
        <v>81</v>
      </c>
      <c r="D41" s="4" t="n">
        <v>950</v>
      </c>
    </row>
    <row r="42" customFormat="false" ht="15" hidden="false" customHeight="false" outlineLevel="0" collapsed="false">
      <c r="A42" s="4" t="s">
        <v>170</v>
      </c>
      <c r="B42" s="4" t="n">
        <v>8</v>
      </c>
      <c r="C42" s="4" t="s">
        <v>83</v>
      </c>
      <c r="D42" s="4" t="n">
        <v>-1.5</v>
      </c>
    </row>
    <row r="43" customFormat="false" ht="15" hidden="false" customHeight="false" outlineLevel="0" collapsed="false">
      <c r="A43" s="4" t="s">
        <v>170</v>
      </c>
      <c r="B43" s="4" t="n">
        <v>9</v>
      </c>
      <c r="C43" s="4" t="s">
        <v>87</v>
      </c>
      <c r="D43" s="4" t="n">
        <v>0</v>
      </c>
    </row>
    <row r="44" customFormat="false" ht="15" hidden="false" customHeight="false" outlineLevel="0" collapsed="false">
      <c r="A44" s="4" t="s">
        <v>170</v>
      </c>
      <c r="B44" s="4" t="n">
        <v>9</v>
      </c>
      <c r="C44" s="4" t="s">
        <v>89</v>
      </c>
      <c r="D44" s="4" t="n">
        <v>0</v>
      </c>
    </row>
    <row r="45" customFormat="false" ht="15" hidden="false" customHeight="false" outlineLevel="0" collapsed="false">
      <c r="A45" s="4" t="s">
        <v>170</v>
      </c>
      <c r="B45" s="4" t="n">
        <v>9</v>
      </c>
      <c r="C45" s="4" t="s">
        <v>92</v>
      </c>
      <c r="D45" s="4" t="n">
        <v>0.025</v>
      </c>
    </row>
    <row r="46" customFormat="false" ht="15" hidden="false" customHeight="false" outlineLevel="0" collapsed="false">
      <c r="A46" s="4" t="s">
        <v>170</v>
      </c>
      <c r="B46" s="4" t="n">
        <v>10</v>
      </c>
      <c r="C46" s="4" t="s">
        <v>94</v>
      </c>
      <c r="D46" s="4" t="n">
        <v>-0.0237</v>
      </c>
    </row>
    <row r="47" customFormat="false" ht="15" hidden="false" customHeight="false" outlineLevel="0" collapsed="false">
      <c r="A47" s="4" t="s">
        <v>170</v>
      </c>
      <c r="B47" s="4" t="n">
        <v>10</v>
      </c>
      <c r="C47" s="4" t="s">
        <v>97</v>
      </c>
      <c r="D47" s="4" t="n">
        <v>0</v>
      </c>
    </row>
    <row r="48" customFormat="false" ht="15" hidden="false" customHeight="false" outlineLevel="0" collapsed="false">
      <c r="A48" s="4" t="s">
        <v>170</v>
      </c>
      <c r="B48" s="4" t="n">
        <v>10</v>
      </c>
      <c r="C48" s="4" t="s">
        <v>100</v>
      </c>
      <c r="D48" s="4" t="n">
        <v>3</v>
      </c>
    </row>
    <row r="49" customFormat="false" ht="15" hidden="false" customHeight="false" outlineLevel="0" collapsed="false">
      <c r="A49" s="4" t="s">
        <v>170</v>
      </c>
      <c r="B49" s="4" t="n">
        <v>11</v>
      </c>
      <c r="C49" s="4" t="s">
        <v>102</v>
      </c>
      <c r="D49" s="4" t="n">
        <v>-8.04</v>
      </c>
    </row>
    <row r="50" customFormat="false" ht="15" hidden="false" customHeight="false" outlineLevel="0" collapsed="false">
      <c r="A50" s="4" t="s">
        <v>170</v>
      </c>
      <c r="B50" s="4" t="n">
        <v>11</v>
      </c>
      <c r="C50" s="4" t="s">
        <v>104</v>
      </c>
      <c r="D50" s="4" t="n">
        <v>0</v>
      </c>
    </row>
    <row r="51" customFormat="false" ht="15" hidden="false" customHeight="false" outlineLevel="0" collapsed="false">
      <c r="A51" s="4" t="s">
        <v>170</v>
      </c>
      <c r="B51" s="4" t="n">
        <v>12</v>
      </c>
      <c r="C51" s="4" t="s">
        <v>108</v>
      </c>
      <c r="D51" s="4" t="n">
        <v>0</v>
      </c>
    </row>
    <row r="52" customFormat="false" ht="15" hidden="false" customHeight="false" outlineLevel="0" collapsed="false">
      <c r="A52" s="4" t="s">
        <v>170</v>
      </c>
      <c r="B52" s="4" t="n">
        <v>12</v>
      </c>
      <c r="C52" s="4" t="s">
        <v>110</v>
      </c>
      <c r="D52" s="4" t="n">
        <v>0</v>
      </c>
    </row>
    <row r="53" customFormat="false" ht="15" hidden="false" customHeight="false" outlineLevel="0" collapsed="false">
      <c r="A53" s="4" t="s">
        <v>170</v>
      </c>
      <c r="B53" s="4" t="n">
        <v>12</v>
      </c>
      <c r="C53" s="4" t="s">
        <v>112</v>
      </c>
      <c r="D53" s="4" t="n">
        <v>0</v>
      </c>
    </row>
    <row r="54" customFormat="false" ht="15" hidden="false" customHeight="false" outlineLevel="0" collapsed="false">
      <c r="A54" s="4" t="s">
        <v>170</v>
      </c>
      <c r="B54" s="4" t="n">
        <v>13</v>
      </c>
      <c r="C54" s="4" t="s">
        <v>116</v>
      </c>
      <c r="D54" s="4" t="n">
        <v>0</v>
      </c>
    </row>
    <row r="55" customFormat="false" ht="15" hidden="false" customHeight="false" outlineLevel="0" collapsed="false">
      <c r="A55" s="4" t="s">
        <v>170</v>
      </c>
      <c r="B55" s="4" t="n">
        <v>13</v>
      </c>
      <c r="C55" s="4" t="s">
        <v>118</v>
      </c>
      <c r="D55" s="4" t="n">
        <v>1</v>
      </c>
    </row>
    <row r="56" customFormat="false" ht="15" hidden="false" customHeight="false" outlineLevel="0" collapsed="false">
      <c r="A56" s="4" t="s">
        <v>176</v>
      </c>
      <c r="B56" s="4" t="n">
        <v>2</v>
      </c>
      <c r="C56" s="4" t="s">
        <v>52</v>
      </c>
      <c r="D56" s="4" t="n">
        <v>0.05</v>
      </c>
    </row>
    <row r="57" customFormat="false" ht="15" hidden="false" customHeight="false" outlineLevel="0" collapsed="false">
      <c r="A57" s="4" t="s">
        <v>176</v>
      </c>
      <c r="B57" s="4" t="n">
        <v>3</v>
      </c>
      <c r="C57" s="4" t="s">
        <v>55</v>
      </c>
      <c r="D57" s="4" t="n">
        <v>0</v>
      </c>
    </row>
    <row r="58" customFormat="false" ht="15" hidden="false" customHeight="false" outlineLevel="0" collapsed="false">
      <c r="A58" s="4" t="s">
        <v>176</v>
      </c>
      <c r="B58" s="4" t="n">
        <v>4</v>
      </c>
      <c r="C58" s="4" t="s">
        <v>58</v>
      </c>
      <c r="D58" s="4" t="n">
        <v>0</v>
      </c>
    </row>
    <row r="59" customFormat="false" ht="15" hidden="false" customHeight="false" outlineLevel="0" collapsed="false">
      <c r="A59" s="4" t="s">
        <v>176</v>
      </c>
      <c r="B59" s="4" t="n">
        <v>5</v>
      </c>
      <c r="C59" s="4" t="s">
        <v>61</v>
      </c>
      <c r="D59" s="4" t="n">
        <v>10.5</v>
      </c>
    </row>
    <row r="60" customFormat="false" ht="15" hidden="false" customHeight="false" outlineLevel="0" collapsed="false">
      <c r="A60" s="4" t="s">
        <v>176</v>
      </c>
      <c r="B60" s="4" t="n">
        <v>5</v>
      </c>
      <c r="C60" s="4" t="s">
        <v>63</v>
      </c>
      <c r="D60" s="4" t="n">
        <v>0.45</v>
      </c>
    </row>
    <row r="61" customFormat="false" ht="15" hidden="false" customHeight="false" outlineLevel="0" collapsed="false">
      <c r="A61" s="4" t="s">
        <v>176</v>
      </c>
      <c r="B61" s="4" t="n">
        <v>5</v>
      </c>
      <c r="C61" s="4" t="s">
        <v>65</v>
      </c>
      <c r="D61" s="4" t="n">
        <v>54.2025</v>
      </c>
    </row>
    <row r="62" customFormat="false" ht="15" hidden="false" customHeight="false" outlineLevel="0" collapsed="false">
      <c r="A62" s="4" t="s">
        <v>176</v>
      </c>
      <c r="B62" s="4" t="n">
        <v>6</v>
      </c>
      <c r="C62" s="4" t="s">
        <v>67</v>
      </c>
      <c r="D62" s="4" t="n">
        <v>1040</v>
      </c>
    </row>
    <row r="63" customFormat="false" ht="15" hidden="false" customHeight="false" outlineLevel="0" collapsed="false">
      <c r="A63" s="4" t="s">
        <v>176</v>
      </c>
      <c r="B63" s="4" t="n">
        <v>6</v>
      </c>
      <c r="C63" s="4" t="s">
        <v>70</v>
      </c>
      <c r="D63" s="4" t="n">
        <v>250</v>
      </c>
    </row>
    <row r="64" customFormat="false" ht="15" hidden="false" customHeight="false" outlineLevel="0" collapsed="false">
      <c r="A64" s="4" t="s">
        <v>176</v>
      </c>
      <c r="B64" s="4" t="n">
        <v>6</v>
      </c>
      <c r="C64" s="4" t="s">
        <v>72</v>
      </c>
      <c r="D64" s="4" t="n">
        <v>1</v>
      </c>
    </row>
    <row r="65" customFormat="false" ht="15" hidden="false" customHeight="false" outlineLevel="0" collapsed="false">
      <c r="A65" s="4" t="s">
        <v>176</v>
      </c>
      <c r="B65" s="4" t="n">
        <v>7</v>
      </c>
      <c r="C65" s="4" t="s">
        <v>74</v>
      </c>
      <c r="D65" s="4" t="n">
        <v>0</v>
      </c>
    </row>
    <row r="66" customFormat="false" ht="15" hidden="false" customHeight="false" outlineLevel="0" collapsed="false">
      <c r="A66" s="4" t="s">
        <v>176</v>
      </c>
      <c r="B66" s="4" t="n">
        <v>7</v>
      </c>
      <c r="C66" s="4" t="s">
        <v>76</v>
      </c>
      <c r="D66" s="4" t="n">
        <v>1</v>
      </c>
    </row>
    <row r="67" customFormat="false" ht="15" hidden="false" customHeight="false" outlineLevel="0" collapsed="false">
      <c r="A67" s="4" t="s">
        <v>176</v>
      </c>
      <c r="B67" s="4" t="n">
        <v>8</v>
      </c>
      <c r="C67" s="4" t="s">
        <v>79</v>
      </c>
      <c r="D67" s="4" t="n">
        <v>7</v>
      </c>
    </row>
    <row r="68" customFormat="false" ht="15" hidden="false" customHeight="false" outlineLevel="0" collapsed="false">
      <c r="A68" s="4" t="s">
        <v>176</v>
      </c>
      <c r="B68" s="4" t="n">
        <v>8</v>
      </c>
      <c r="C68" s="4" t="s">
        <v>81</v>
      </c>
      <c r="D68" s="4" t="n">
        <v>800</v>
      </c>
    </row>
    <row r="69" customFormat="false" ht="15" hidden="false" customHeight="false" outlineLevel="0" collapsed="false">
      <c r="A69" s="4" t="s">
        <v>176</v>
      </c>
      <c r="B69" s="4" t="n">
        <v>8</v>
      </c>
      <c r="C69" s="4" t="s">
        <v>83</v>
      </c>
      <c r="D69" s="4" t="n">
        <v>-1.5</v>
      </c>
    </row>
    <row r="70" customFormat="false" ht="15" hidden="false" customHeight="false" outlineLevel="0" collapsed="false">
      <c r="A70" s="4" t="s">
        <v>176</v>
      </c>
      <c r="B70" s="4" t="n">
        <v>9</v>
      </c>
      <c r="C70" s="4" t="s">
        <v>87</v>
      </c>
      <c r="D70" s="4" t="n">
        <v>340</v>
      </c>
    </row>
    <row r="71" customFormat="false" ht="15" hidden="false" customHeight="false" outlineLevel="0" collapsed="false">
      <c r="A71" s="4" t="s">
        <v>176</v>
      </c>
      <c r="B71" s="4" t="n">
        <v>9</v>
      </c>
      <c r="C71" s="4" t="s">
        <v>89</v>
      </c>
      <c r="D71" s="4" t="n">
        <v>7.695</v>
      </c>
    </row>
    <row r="72" customFormat="false" ht="15" hidden="false" customHeight="false" outlineLevel="0" collapsed="false">
      <c r="A72" s="4" t="s">
        <v>176</v>
      </c>
      <c r="B72" s="4" t="n">
        <v>9</v>
      </c>
      <c r="C72" s="4" t="s">
        <v>92</v>
      </c>
      <c r="D72" s="4" t="n">
        <v>0.025</v>
      </c>
    </row>
    <row r="73" customFormat="false" ht="15" hidden="false" customHeight="false" outlineLevel="0" collapsed="false">
      <c r="A73" s="4" t="s">
        <v>176</v>
      </c>
      <c r="B73" s="4" t="n">
        <v>10</v>
      </c>
      <c r="C73" s="4" t="s">
        <v>94</v>
      </c>
      <c r="D73" s="4" t="n">
        <v>-0.0237</v>
      </c>
    </row>
    <row r="74" customFormat="false" ht="15" hidden="false" customHeight="false" outlineLevel="0" collapsed="false">
      <c r="A74" s="4" t="s">
        <v>176</v>
      </c>
      <c r="B74" s="4" t="n">
        <v>10</v>
      </c>
      <c r="C74" s="4" t="s">
        <v>97</v>
      </c>
      <c r="D74" s="4" t="n">
        <v>100</v>
      </c>
    </row>
    <row r="75" customFormat="false" ht="15" hidden="false" customHeight="false" outlineLevel="0" collapsed="false">
      <c r="A75" s="4" t="s">
        <v>176</v>
      </c>
      <c r="B75" s="4" t="n">
        <v>10</v>
      </c>
      <c r="C75" s="4" t="s">
        <v>100</v>
      </c>
      <c r="D75" s="4" t="n">
        <v>1</v>
      </c>
    </row>
    <row r="76" customFormat="false" ht="15" hidden="false" customHeight="false" outlineLevel="0" collapsed="false">
      <c r="A76" s="4" t="s">
        <v>176</v>
      </c>
      <c r="B76" s="4" t="n">
        <v>11</v>
      </c>
      <c r="C76" s="4" t="s">
        <v>102</v>
      </c>
      <c r="D76" s="4" t="n">
        <v>0</v>
      </c>
    </row>
    <row r="77" customFormat="false" ht="15" hidden="false" customHeight="false" outlineLevel="0" collapsed="false">
      <c r="A77" s="4" t="s">
        <v>176</v>
      </c>
      <c r="B77" s="4" t="n">
        <v>11</v>
      </c>
      <c r="C77" s="4" t="s">
        <v>104</v>
      </c>
      <c r="D77" s="4" t="n">
        <v>1</v>
      </c>
    </row>
    <row r="78" customFormat="false" ht="15" hidden="false" customHeight="false" outlineLevel="0" collapsed="false">
      <c r="A78" s="4" t="s">
        <v>176</v>
      </c>
      <c r="B78" s="4" t="n">
        <v>12</v>
      </c>
      <c r="C78" s="4" t="s">
        <v>108</v>
      </c>
      <c r="D78" s="4" t="n">
        <v>1130</v>
      </c>
    </row>
    <row r="79" customFormat="false" ht="15" hidden="false" customHeight="false" outlineLevel="0" collapsed="false">
      <c r="A79" s="4" t="s">
        <v>176</v>
      </c>
      <c r="B79" s="4" t="n">
        <v>12</v>
      </c>
      <c r="C79" s="4" t="s">
        <v>110</v>
      </c>
      <c r="D79" s="4" t="n">
        <v>120</v>
      </c>
    </row>
    <row r="80" customFormat="false" ht="15" hidden="false" customHeight="false" outlineLevel="0" collapsed="false">
      <c r="A80" s="4" t="s">
        <v>176</v>
      </c>
      <c r="B80" s="4" t="n">
        <v>12</v>
      </c>
      <c r="C80" s="4" t="s">
        <v>112</v>
      </c>
      <c r="D80" s="4" t="n">
        <v>0</v>
      </c>
    </row>
    <row r="81" customFormat="false" ht="15" hidden="false" customHeight="false" outlineLevel="0" collapsed="false">
      <c r="A81" s="4" t="s">
        <v>176</v>
      </c>
      <c r="B81" s="4" t="n">
        <v>13</v>
      </c>
      <c r="C81" s="4" t="s">
        <v>116</v>
      </c>
      <c r="D81" s="4" t="n">
        <v>33.6</v>
      </c>
    </row>
    <row r="82" customFormat="false" ht="15" hidden="false" customHeight="false" outlineLevel="0" collapsed="false">
      <c r="A82" s="4" t="s">
        <v>176</v>
      </c>
      <c r="B82" s="4" t="n">
        <v>13</v>
      </c>
      <c r="C82" s="4" t="s">
        <v>118</v>
      </c>
      <c r="D82" s="4" t="n">
        <v>0</v>
      </c>
    </row>
    <row r="83" customFormat="false" ht="15" hidden="false" customHeight="false" outlineLevel="0" collapsed="false">
      <c r="A83" s="4" t="s">
        <v>179</v>
      </c>
      <c r="B83" s="4" t="n">
        <v>2</v>
      </c>
      <c r="C83" s="4" t="s">
        <v>52</v>
      </c>
      <c r="D83" s="4" t="n">
        <v>0</v>
      </c>
    </row>
    <row r="84" customFormat="false" ht="15" hidden="false" customHeight="false" outlineLevel="0" collapsed="false">
      <c r="A84" s="4" t="s">
        <v>179</v>
      </c>
      <c r="B84" s="4" t="n">
        <v>3</v>
      </c>
      <c r="C84" s="4" t="s">
        <v>55</v>
      </c>
      <c r="D84" s="4" t="n">
        <v>1</v>
      </c>
    </row>
    <row r="85" customFormat="false" ht="15" hidden="false" customHeight="false" outlineLevel="0" collapsed="false">
      <c r="A85" s="4" t="s">
        <v>179</v>
      </c>
      <c r="B85" s="4" t="n">
        <v>4</v>
      </c>
      <c r="C85" s="4" t="s">
        <v>58</v>
      </c>
      <c r="D85" s="4" t="n">
        <v>0</v>
      </c>
    </row>
    <row r="86" customFormat="false" ht="15" hidden="false" customHeight="false" outlineLevel="0" collapsed="false">
      <c r="A86" s="4" t="s">
        <v>179</v>
      </c>
      <c r="B86" s="4" t="n">
        <v>5</v>
      </c>
      <c r="C86" s="4" t="s">
        <v>61</v>
      </c>
      <c r="D86" s="4" t="n">
        <v>10.5</v>
      </c>
    </row>
    <row r="87" customFormat="false" ht="15" hidden="false" customHeight="false" outlineLevel="0" collapsed="false">
      <c r="A87" s="4" t="s">
        <v>179</v>
      </c>
      <c r="B87" s="4" t="n">
        <v>5</v>
      </c>
      <c r="C87" s="4" t="s">
        <v>63</v>
      </c>
      <c r="D87" s="4" t="n">
        <v>0.45</v>
      </c>
    </row>
    <row r="88" customFormat="false" ht="15" hidden="false" customHeight="false" outlineLevel="0" collapsed="false">
      <c r="A88" s="4" t="s">
        <v>179</v>
      </c>
      <c r="B88" s="4" t="n">
        <v>5</v>
      </c>
      <c r="C88" s="4" t="s">
        <v>65</v>
      </c>
      <c r="D88" s="4" t="n">
        <v>0</v>
      </c>
    </row>
    <row r="89" customFormat="false" ht="15" hidden="false" customHeight="false" outlineLevel="0" collapsed="false">
      <c r="A89" s="4" t="s">
        <v>179</v>
      </c>
      <c r="B89" s="4" t="n">
        <v>6</v>
      </c>
      <c r="C89" s="4" t="s">
        <v>67</v>
      </c>
      <c r="D89" s="4" t="n">
        <v>1040</v>
      </c>
    </row>
    <row r="90" customFormat="false" ht="15" hidden="false" customHeight="false" outlineLevel="0" collapsed="false">
      <c r="A90" s="4" t="s">
        <v>179</v>
      </c>
      <c r="B90" s="4" t="n">
        <v>6</v>
      </c>
      <c r="C90" s="4" t="s">
        <v>70</v>
      </c>
      <c r="D90" s="4" t="n">
        <v>250</v>
      </c>
    </row>
    <row r="91" customFormat="false" ht="15" hidden="false" customHeight="false" outlineLevel="0" collapsed="false">
      <c r="A91" s="4" t="s">
        <v>179</v>
      </c>
      <c r="B91" s="4" t="n">
        <v>6</v>
      </c>
      <c r="C91" s="4" t="s">
        <v>72</v>
      </c>
      <c r="D91" s="4" t="n">
        <v>1</v>
      </c>
    </row>
    <row r="92" customFormat="false" ht="15" hidden="false" customHeight="false" outlineLevel="0" collapsed="false">
      <c r="A92" s="4" t="s">
        <v>179</v>
      </c>
      <c r="B92" s="4" t="n">
        <v>7</v>
      </c>
      <c r="C92" s="4" t="s">
        <v>74</v>
      </c>
      <c r="D92" s="4" t="n">
        <v>0</v>
      </c>
    </row>
    <row r="93" customFormat="false" ht="15" hidden="false" customHeight="false" outlineLevel="0" collapsed="false">
      <c r="A93" s="4" t="s">
        <v>179</v>
      </c>
      <c r="B93" s="4" t="n">
        <v>7</v>
      </c>
      <c r="C93" s="4" t="s">
        <v>76</v>
      </c>
      <c r="D93" s="4" t="n">
        <v>0</v>
      </c>
    </row>
    <row r="94" customFormat="false" ht="15" hidden="false" customHeight="false" outlineLevel="0" collapsed="false">
      <c r="A94" s="4" t="s">
        <v>179</v>
      </c>
      <c r="B94" s="4" t="n">
        <v>8</v>
      </c>
      <c r="C94" s="4" t="s">
        <v>79</v>
      </c>
      <c r="D94" s="4" t="n">
        <v>7</v>
      </c>
    </row>
    <row r="95" customFormat="false" ht="15" hidden="false" customHeight="false" outlineLevel="0" collapsed="false">
      <c r="A95" s="4" t="s">
        <v>179</v>
      </c>
      <c r="B95" s="4" t="n">
        <v>8</v>
      </c>
      <c r="C95" s="4" t="s">
        <v>81</v>
      </c>
      <c r="D95" s="4" t="n">
        <v>700</v>
      </c>
    </row>
    <row r="96" customFormat="false" ht="15" hidden="false" customHeight="false" outlineLevel="0" collapsed="false">
      <c r="A96" s="4" t="s">
        <v>179</v>
      </c>
      <c r="B96" s="4" t="n">
        <v>8</v>
      </c>
      <c r="C96" s="4" t="s">
        <v>83</v>
      </c>
      <c r="D96" s="4" t="n">
        <v>-1.5</v>
      </c>
    </row>
    <row r="97" customFormat="false" ht="15" hidden="false" customHeight="false" outlineLevel="0" collapsed="false">
      <c r="A97" s="4" t="s">
        <v>179</v>
      </c>
      <c r="B97" s="4" t="n">
        <v>9</v>
      </c>
      <c r="C97" s="4" t="s">
        <v>87</v>
      </c>
      <c r="D97" s="4" t="n">
        <v>194</v>
      </c>
    </row>
    <row r="98" customFormat="false" ht="15" hidden="false" customHeight="false" outlineLevel="0" collapsed="false">
      <c r="A98" s="4" t="s">
        <v>179</v>
      </c>
      <c r="B98" s="4" t="n">
        <v>9</v>
      </c>
      <c r="C98" s="4" t="s">
        <v>89</v>
      </c>
      <c r="D98" s="4" t="n">
        <v>22.68</v>
      </c>
    </row>
    <row r="99" customFormat="false" ht="15" hidden="false" customHeight="false" outlineLevel="0" collapsed="false">
      <c r="A99" s="4" t="s">
        <v>179</v>
      </c>
      <c r="B99" s="4" t="n">
        <v>9</v>
      </c>
      <c r="C99" s="4" t="s">
        <v>92</v>
      </c>
      <c r="D99" s="4" t="n">
        <v>0.025</v>
      </c>
    </row>
    <row r="100" customFormat="false" ht="15" hidden="false" customHeight="false" outlineLevel="0" collapsed="false">
      <c r="A100" s="4" t="s">
        <v>179</v>
      </c>
      <c r="B100" s="4" t="n">
        <v>10</v>
      </c>
      <c r="C100" s="4" t="s">
        <v>94</v>
      </c>
      <c r="D100" s="4" t="n">
        <v>-0.0237</v>
      </c>
    </row>
    <row r="101" customFormat="false" ht="15" hidden="false" customHeight="false" outlineLevel="0" collapsed="false">
      <c r="A101" s="4" t="s">
        <v>179</v>
      </c>
      <c r="B101" s="4" t="n">
        <v>10</v>
      </c>
      <c r="C101" s="4" t="s">
        <v>97</v>
      </c>
      <c r="D101" s="4" t="n">
        <v>50</v>
      </c>
    </row>
    <row r="102" customFormat="false" ht="15" hidden="false" customHeight="false" outlineLevel="0" collapsed="false">
      <c r="A102" s="4" t="s">
        <v>179</v>
      </c>
      <c r="B102" s="4" t="n">
        <v>10</v>
      </c>
      <c r="C102" s="4" t="s">
        <v>100</v>
      </c>
      <c r="D102" s="4" t="n">
        <v>1</v>
      </c>
    </row>
    <row r="103" customFormat="false" ht="15" hidden="false" customHeight="false" outlineLevel="0" collapsed="false">
      <c r="A103" s="4" t="s">
        <v>179</v>
      </c>
      <c r="B103" s="4" t="n">
        <v>11</v>
      </c>
      <c r="C103" s="4" t="s">
        <v>102</v>
      </c>
      <c r="D103" s="4" t="n">
        <v>-4.02</v>
      </c>
    </row>
    <row r="104" customFormat="false" ht="15" hidden="false" customHeight="false" outlineLevel="0" collapsed="false">
      <c r="A104" s="4" t="s">
        <v>179</v>
      </c>
      <c r="B104" s="4" t="n">
        <v>11</v>
      </c>
      <c r="C104" s="4" t="s">
        <v>104</v>
      </c>
      <c r="D104" s="4" t="n">
        <v>0</v>
      </c>
    </row>
    <row r="105" customFormat="false" ht="15" hidden="false" customHeight="false" outlineLevel="0" collapsed="false">
      <c r="A105" s="4" t="s">
        <v>179</v>
      </c>
      <c r="B105" s="4" t="n">
        <v>12</v>
      </c>
      <c r="C105" s="4" t="s">
        <v>108</v>
      </c>
      <c r="D105" s="4" t="n">
        <v>1030</v>
      </c>
    </row>
    <row r="106" customFormat="false" ht="15" hidden="false" customHeight="false" outlineLevel="0" collapsed="false">
      <c r="A106" s="4" t="s">
        <v>179</v>
      </c>
      <c r="B106" s="4" t="n">
        <v>12</v>
      </c>
      <c r="C106" s="4" t="s">
        <v>110</v>
      </c>
      <c r="D106" s="4" t="n">
        <v>30</v>
      </c>
    </row>
    <row r="107" customFormat="false" ht="15" hidden="false" customHeight="false" outlineLevel="0" collapsed="false">
      <c r="A107" s="4" t="s">
        <v>179</v>
      </c>
      <c r="B107" s="4" t="n">
        <v>12</v>
      </c>
      <c r="C107" s="4" t="s">
        <v>112</v>
      </c>
      <c r="D107" s="4" t="n">
        <v>0</v>
      </c>
    </row>
    <row r="108" customFormat="false" ht="15" hidden="false" customHeight="false" outlineLevel="0" collapsed="false">
      <c r="A108" s="4" t="s">
        <v>179</v>
      </c>
      <c r="B108" s="4" t="n">
        <v>13</v>
      </c>
      <c r="C108" s="4" t="s">
        <v>116</v>
      </c>
      <c r="D108" s="4" t="n">
        <v>16.8</v>
      </c>
    </row>
    <row r="109" customFormat="false" ht="15" hidden="false" customHeight="false" outlineLevel="0" collapsed="false">
      <c r="A109" s="4" t="s">
        <v>179</v>
      </c>
      <c r="B109" s="4" t="n">
        <v>13</v>
      </c>
      <c r="C109" s="4" t="s">
        <v>118</v>
      </c>
      <c r="D109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5" hidden="false" customHeight="false" outlineLevel="0" collapsed="false">
      <c r="A1" s="3" t="s">
        <v>27</v>
      </c>
      <c r="B1" s="3" t="s">
        <v>182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189</v>
      </c>
      <c r="J1" s="3" t="s">
        <v>190</v>
      </c>
    </row>
    <row r="2" customFormat="false" ht="15" hidden="false" customHeight="false" outlineLevel="0" collapsed="false">
      <c r="A2" s="4" t="s">
        <v>191</v>
      </c>
      <c r="B2" s="4" t="s">
        <v>192</v>
      </c>
      <c r="C2" s="4" t="n">
        <v>1</v>
      </c>
      <c r="D2" s="4" t="s">
        <v>193</v>
      </c>
      <c r="E2" s="4" t="n">
        <v>4</v>
      </c>
      <c r="F2" s="4" t="s">
        <v>194</v>
      </c>
      <c r="G2" s="4" t="s">
        <v>195</v>
      </c>
      <c r="H2" s="4" t="s">
        <v>196</v>
      </c>
      <c r="I2" s="4" t="s">
        <v>197</v>
      </c>
      <c r="J2" s="4" t="s">
        <v>198</v>
      </c>
    </row>
    <row r="3" customFormat="false" ht="15" hidden="false" customHeight="false" outlineLevel="0" collapsed="false">
      <c r="A3" s="4" t="s">
        <v>199</v>
      </c>
      <c r="B3" s="4" t="s">
        <v>192</v>
      </c>
      <c r="C3" s="4" t="n">
        <v>3</v>
      </c>
      <c r="D3" s="4" t="s">
        <v>200</v>
      </c>
      <c r="E3" s="4" t="n">
        <v>5</v>
      </c>
      <c r="F3" s="4" t="s">
        <v>201</v>
      </c>
      <c r="G3" s="4" t="s">
        <v>202</v>
      </c>
      <c r="H3" s="4" t="s">
        <v>203</v>
      </c>
      <c r="I3" s="4" t="s">
        <v>197</v>
      </c>
      <c r="J3" s="4" t="s">
        <v>204</v>
      </c>
    </row>
    <row r="4" customFormat="false" ht="15" hidden="false" customHeight="false" outlineLevel="0" collapsed="false">
      <c r="A4" s="4" t="s">
        <v>205</v>
      </c>
      <c r="B4" s="4" t="s">
        <v>192</v>
      </c>
      <c r="C4" s="4" t="n">
        <v>4</v>
      </c>
      <c r="D4" s="4" t="s">
        <v>206</v>
      </c>
      <c r="E4" s="4" t="n">
        <v>6</v>
      </c>
      <c r="F4" s="4" t="s">
        <v>207</v>
      </c>
      <c r="G4" s="4" t="s">
        <v>208</v>
      </c>
      <c r="H4" s="4" t="s">
        <v>209</v>
      </c>
      <c r="I4" s="4" t="s">
        <v>197</v>
      </c>
      <c r="J4" s="4" t="s">
        <v>198</v>
      </c>
    </row>
    <row r="5" customFormat="false" ht="15" hidden="false" customHeight="false" outlineLevel="0" collapsed="false">
      <c r="A5" s="4" t="s">
        <v>210</v>
      </c>
      <c r="B5" s="4" t="s">
        <v>192</v>
      </c>
      <c r="C5" s="4" t="n">
        <v>4</v>
      </c>
      <c r="D5" s="4" t="s">
        <v>205</v>
      </c>
      <c r="E5" s="4" t="n">
        <v>6</v>
      </c>
      <c r="F5" s="4" t="s">
        <v>211</v>
      </c>
      <c r="G5" s="4" t="s">
        <v>208</v>
      </c>
      <c r="H5" s="4" t="s">
        <v>212</v>
      </c>
      <c r="I5" s="4" t="s">
        <v>197</v>
      </c>
      <c r="J5" s="4" t="s">
        <v>198</v>
      </c>
    </row>
    <row r="6" customFormat="false" ht="15" hidden="false" customHeight="false" outlineLevel="0" collapsed="false">
      <c r="A6" s="4" t="s">
        <v>213</v>
      </c>
      <c r="B6" s="4" t="s">
        <v>192</v>
      </c>
      <c r="C6" s="4" t="n">
        <v>4</v>
      </c>
      <c r="D6" s="4" t="s">
        <v>214</v>
      </c>
      <c r="E6" s="4" t="n">
        <v>10</v>
      </c>
      <c r="F6" s="4" t="s">
        <v>215</v>
      </c>
      <c r="G6" s="4" t="s">
        <v>216</v>
      </c>
      <c r="H6" s="4" t="s">
        <v>217</v>
      </c>
      <c r="I6" s="4" t="s">
        <v>197</v>
      </c>
      <c r="J6" s="4" t="s">
        <v>198</v>
      </c>
    </row>
    <row r="7" customFormat="false" ht="15" hidden="false" customHeight="false" outlineLevel="0" collapsed="false">
      <c r="A7" s="4" t="s">
        <v>218</v>
      </c>
      <c r="B7" s="4" t="s">
        <v>192</v>
      </c>
      <c r="C7" s="4" t="n">
        <v>4</v>
      </c>
      <c r="D7" s="4" t="s">
        <v>219</v>
      </c>
      <c r="E7" s="4" t="n">
        <v>5</v>
      </c>
      <c r="F7" s="4" t="s">
        <v>220</v>
      </c>
      <c r="G7" s="4" t="s">
        <v>195</v>
      </c>
      <c r="H7" s="4" t="s">
        <v>221</v>
      </c>
      <c r="I7" s="4" t="s">
        <v>197</v>
      </c>
      <c r="J7" s="4" t="s">
        <v>198</v>
      </c>
    </row>
    <row r="8" customFormat="false" ht="15" hidden="false" customHeight="false" outlineLevel="0" collapsed="false">
      <c r="A8" s="4" t="s">
        <v>222</v>
      </c>
      <c r="B8" s="4" t="s">
        <v>192</v>
      </c>
      <c r="C8" s="4" t="n">
        <v>5</v>
      </c>
      <c r="D8" s="4" t="s">
        <v>220</v>
      </c>
      <c r="E8" s="4" t="n">
        <v>10</v>
      </c>
      <c r="F8" s="4" t="s">
        <v>223</v>
      </c>
      <c r="G8" s="4" t="s">
        <v>224</v>
      </c>
      <c r="H8" s="4" t="s">
        <v>225</v>
      </c>
      <c r="I8" s="4" t="s">
        <v>197</v>
      </c>
      <c r="J8" s="4" t="s">
        <v>204</v>
      </c>
    </row>
    <row r="9" customFormat="false" ht="15" hidden="false" customHeight="false" outlineLevel="0" collapsed="false">
      <c r="A9" s="4" t="s">
        <v>226</v>
      </c>
      <c r="B9" s="4" t="s">
        <v>192</v>
      </c>
      <c r="C9" s="4" t="n">
        <v>6</v>
      </c>
      <c r="D9" s="4" t="s">
        <v>227</v>
      </c>
      <c r="E9" s="4" t="n">
        <v>10</v>
      </c>
      <c r="F9" s="4" t="s">
        <v>228</v>
      </c>
      <c r="G9" s="4" t="s">
        <v>224</v>
      </c>
      <c r="H9" s="4" t="s">
        <v>229</v>
      </c>
      <c r="I9" s="4" t="s">
        <v>197</v>
      </c>
      <c r="J9" s="4" t="s">
        <v>198</v>
      </c>
    </row>
    <row r="10" customFormat="false" ht="15" hidden="false" customHeight="false" outlineLevel="0" collapsed="false">
      <c r="A10" s="4" t="s">
        <v>230</v>
      </c>
      <c r="B10" s="4" t="s">
        <v>192</v>
      </c>
      <c r="C10" s="4" t="n">
        <v>6</v>
      </c>
      <c r="D10" s="4" t="s">
        <v>231</v>
      </c>
      <c r="E10" s="4" t="n">
        <v>8</v>
      </c>
      <c r="F10" s="4" t="s">
        <v>232</v>
      </c>
      <c r="G10" s="4" t="s">
        <v>202</v>
      </c>
      <c r="H10" s="4" t="s">
        <v>233</v>
      </c>
      <c r="I10" s="4" t="s">
        <v>197</v>
      </c>
      <c r="J10" s="4" t="s">
        <v>204</v>
      </c>
    </row>
    <row r="11" customFormat="false" ht="15" hidden="false" customHeight="false" outlineLevel="0" collapsed="false">
      <c r="A11" s="4" t="s">
        <v>234</v>
      </c>
      <c r="B11" s="4" t="s">
        <v>192</v>
      </c>
      <c r="C11" s="4" t="n">
        <v>7</v>
      </c>
      <c r="D11" s="4" t="s">
        <v>235</v>
      </c>
      <c r="E11" s="4" t="n">
        <v>9</v>
      </c>
      <c r="F11" s="4" t="s">
        <v>236</v>
      </c>
      <c r="G11" s="4" t="s">
        <v>202</v>
      </c>
      <c r="H11" s="4" t="s">
        <v>237</v>
      </c>
      <c r="I11" s="4" t="s">
        <v>197</v>
      </c>
      <c r="J11" s="4" t="s">
        <v>204</v>
      </c>
    </row>
    <row r="12" customFormat="false" ht="15" hidden="false" customHeight="false" outlineLevel="0" collapsed="false">
      <c r="A12" s="4" t="s">
        <v>238</v>
      </c>
      <c r="B12" s="4" t="s">
        <v>192</v>
      </c>
      <c r="C12" s="4" t="n">
        <v>8</v>
      </c>
      <c r="D12" s="4" t="s">
        <v>239</v>
      </c>
      <c r="E12" s="4" t="n">
        <v>10</v>
      </c>
      <c r="F12" s="4" t="s">
        <v>240</v>
      </c>
      <c r="G12" s="4" t="s">
        <v>224</v>
      </c>
      <c r="H12" s="4" t="s">
        <v>241</v>
      </c>
      <c r="I12" s="4" t="s">
        <v>197</v>
      </c>
      <c r="J12" s="4" t="s">
        <v>198</v>
      </c>
    </row>
    <row r="13" customFormat="false" ht="15" hidden="false" customHeight="false" outlineLevel="0" collapsed="false">
      <c r="A13" s="4" t="s">
        <v>242</v>
      </c>
      <c r="B13" s="4" t="s">
        <v>192</v>
      </c>
      <c r="C13" s="4" t="n">
        <v>10</v>
      </c>
      <c r="D13" s="4" t="s">
        <v>243</v>
      </c>
      <c r="E13" s="4" t="n">
        <v>10</v>
      </c>
      <c r="F13" s="4" t="s">
        <v>244</v>
      </c>
      <c r="G13" s="4" t="s">
        <v>245</v>
      </c>
      <c r="H13" s="4" t="s">
        <v>246</v>
      </c>
      <c r="I13" s="4" t="s">
        <v>197</v>
      </c>
      <c r="J13" s="4" t="s">
        <v>198</v>
      </c>
    </row>
    <row r="14" customFormat="false" ht="15" hidden="false" customHeight="false" outlineLevel="0" collapsed="false">
      <c r="A14" s="4" t="s">
        <v>247</v>
      </c>
      <c r="B14" s="4" t="s">
        <v>192</v>
      </c>
      <c r="C14" s="4" t="n">
        <v>1</v>
      </c>
      <c r="D14" s="4" t="s">
        <v>193</v>
      </c>
      <c r="E14" s="4" t="n">
        <v>4</v>
      </c>
      <c r="F14" s="4" t="s">
        <v>194</v>
      </c>
      <c r="G14" s="4" t="s">
        <v>195</v>
      </c>
      <c r="H14" s="4" t="s">
        <v>248</v>
      </c>
      <c r="I14" s="4" t="s">
        <v>197</v>
      </c>
      <c r="J14" s="4" t="s">
        <v>198</v>
      </c>
    </row>
    <row r="15" customFormat="false" ht="15" hidden="false" customHeight="false" outlineLevel="0" collapsed="false">
      <c r="A15" s="4" t="s">
        <v>249</v>
      </c>
      <c r="B15" s="4" t="s">
        <v>192</v>
      </c>
      <c r="C15" s="4" t="n">
        <v>3</v>
      </c>
      <c r="D15" s="4" t="s">
        <v>250</v>
      </c>
      <c r="E15" s="4" t="n">
        <v>10</v>
      </c>
      <c r="F15" s="4" t="s">
        <v>251</v>
      </c>
      <c r="G15" s="4" t="s">
        <v>216</v>
      </c>
      <c r="H15" s="4" t="s">
        <v>252</v>
      </c>
      <c r="I15" s="4" t="s">
        <v>197</v>
      </c>
      <c r="J15" s="4" t="s">
        <v>198</v>
      </c>
    </row>
    <row r="16" customFormat="false" ht="15" hidden="false" customHeight="false" outlineLevel="0" collapsed="false">
      <c r="A16" s="4" t="s">
        <v>253</v>
      </c>
      <c r="B16" s="4" t="s">
        <v>192</v>
      </c>
      <c r="C16" s="4" t="n">
        <v>13</v>
      </c>
      <c r="D16" s="4" t="s">
        <v>254</v>
      </c>
      <c r="E16" s="4" t="n">
        <v>13</v>
      </c>
      <c r="F16" s="4" t="s">
        <v>255</v>
      </c>
      <c r="G16" s="4" t="s">
        <v>256</v>
      </c>
      <c r="H16" s="4" t="s">
        <v>257</v>
      </c>
      <c r="I16" s="4" t="s">
        <v>197</v>
      </c>
      <c r="J16" s="4" t="s">
        <v>204</v>
      </c>
    </row>
    <row r="17" customFormat="false" ht="15" hidden="false" customHeight="false" outlineLevel="0" collapsed="false">
      <c r="A17" s="4" t="s">
        <v>258</v>
      </c>
      <c r="B17" s="4" t="s">
        <v>192</v>
      </c>
      <c r="C17" s="4" t="n">
        <v>7</v>
      </c>
      <c r="D17" s="4" t="s">
        <v>259</v>
      </c>
      <c r="E17" s="4" t="n">
        <v>8</v>
      </c>
      <c r="F17" s="4" t="s">
        <v>232</v>
      </c>
      <c r="G17" s="4" t="s">
        <v>202</v>
      </c>
      <c r="H17" s="4" t="s">
        <v>260</v>
      </c>
      <c r="I17" s="4" t="s">
        <v>261</v>
      </c>
      <c r="J17" s="4" t="s">
        <v>204</v>
      </c>
    </row>
    <row r="18" customFormat="false" ht="15" hidden="false" customHeight="false" outlineLevel="0" collapsed="false">
      <c r="A18" s="4" t="s">
        <v>262</v>
      </c>
      <c r="B18" s="4" t="s">
        <v>192</v>
      </c>
      <c r="C18" s="4" t="n">
        <v>6</v>
      </c>
      <c r="D18" s="4" t="s">
        <v>263</v>
      </c>
      <c r="E18" s="4" t="n">
        <v>11</v>
      </c>
      <c r="F18" s="4" t="s">
        <v>264</v>
      </c>
      <c r="G18" s="4" t="s">
        <v>265</v>
      </c>
      <c r="H18" s="4" t="s">
        <v>266</v>
      </c>
      <c r="I18" s="4" t="s">
        <v>267</v>
      </c>
      <c r="J18" s="4" t="s">
        <v>198</v>
      </c>
    </row>
    <row r="19" customFormat="false" ht="15" hidden="false" customHeight="false" outlineLevel="0" collapsed="false">
      <c r="A19" s="4" t="s">
        <v>268</v>
      </c>
      <c r="B19" s="4" t="s">
        <v>192</v>
      </c>
      <c r="C19" s="4" t="n">
        <v>3</v>
      </c>
      <c r="D19" s="4" t="s">
        <v>269</v>
      </c>
      <c r="E19" s="4" t="n">
        <v>12</v>
      </c>
      <c r="F19" s="4" t="s">
        <v>270</v>
      </c>
      <c r="G19" s="4" t="s">
        <v>271</v>
      </c>
      <c r="H19" s="4" t="s">
        <v>272</v>
      </c>
      <c r="I19" s="4" t="s">
        <v>271</v>
      </c>
      <c r="J19" s="4" t="s">
        <v>198</v>
      </c>
    </row>
    <row r="20" customFormat="false" ht="15" hidden="false" customHeight="false" outlineLevel="0" collapsed="false">
      <c r="A20" s="4" t="s">
        <v>273</v>
      </c>
      <c r="B20" s="4" t="s">
        <v>192</v>
      </c>
      <c r="C20" s="4" t="n">
        <v>6</v>
      </c>
      <c r="D20" s="4" t="s">
        <v>161</v>
      </c>
      <c r="E20" s="4" t="n">
        <v>12</v>
      </c>
      <c r="F20" s="4" t="s">
        <v>274</v>
      </c>
      <c r="G20" s="4" t="s">
        <v>271</v>
      </c>
      <c r="H20" s="4" t="s">
        <v>272</v>
      </c>
      <c r="I20" s="4" t="s">
        <v>271</v>
      </c>
      <c r="J20" s="4" t="s">
        <v>198</v>
      </c>
    </row>
    <row r="21" customFormat="false" ht="15" hidden="false" customHeight="false" outlineLevel="0" collapsed="false">
      <c r="A21" s="4" t="s">
        <v>275</v>
      </c>
      <c r="B21" s="4" t="s">
        <v>192</v>
      </c>
      <c r="C21" s="4" t="n">
        <v>1</v>
      </c>
      <c r="D21" s="4" t="s">
        <v>193</v>
      </c>
      <c r="E21" s="4" t="n">
        <v>12</v>
      </c>
      <c r="F21" s="4" t="s">
        <v>276</v>
      </c>
      <c r="G21" s="4" t="s">
        <v>271</v>
      </c>
      <c r="H21" s="4" t="s">
        <v>277</v>
      </c>
      <c r="I21" s="4" t="s">
        <v>271</v>
      </c>
      <c r="J21" s="4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23"/>
  </cols>
  <sheetData>
    <row r="1" customFormat="false" ht="15" hidden="false" customHeight="false" outlineLevel="0" collapsed="false">
      <c r="A1" s="3" t="s">
        <v>149</v>
      </c>
      <c r="B1" s="3" t="s">
        <v>279</v>
      </c>
      <c r="C1" s="3" t="s">
        <v>280</v>
      </c>
    </row>
    <row r="2" customFormat="false" ht="15" hidden="false" customHeight="false" outlineLevel="0" collapsed="false">
      <c r="A2" s="4" t="s">
        <v>151</v>
      </c>
      <c r="B2" s="4" t="s">
        <v>199</v>
      </c>
      <c r="C2" s="4" t="s">
        <v>281</v>
      </c>
    </row>
    <row r="3" customFormat="false" ht="15" hidden="false" customHeight="false" outlineLevel="0" collapsed="false">
      <c r="A3" s="4" t="s">
        <v>151</v>
      </c>
      <c r="B3" s="4" t="s">
        <v>205</v>
      </c>
      <c r="C3" s="4" t="s">
        <v>151</v>
      </c>
    </row>
    <row r="4" customFormat="false" ht="15" hidden="false" customHeight="false" outlineLevel="0" collapsed="false">
      <c r="A4" s="4" t="s">
        <v>151</v>
      </c>
      <c r="B4" s="4" t="s">
        <v>210</v>
      </c>
      <c r="C4" s="4" t="s">
        <v>282</v>
      </c>
    </row>
    <row r="5" customFormat="false" ht="15" hidden="false" customHeight="false" outlineLevel="0" collapsed="false">
      <c r="A5" s="4" t="s">
        <v>151</v>
      </c>
      <c r="B5" s="4" t="s">
        <v>213</v>
      </c>
      <c r="C5" s="4" t="s">
        <v>155</v>
      </c>
    </row>
    <row r="6" customFormat="false" ht="15" hidden="false" customHeight="false" outlineLevel="0" collapsed="false">
      <c r="A6" s="4" t="s">
        <v>151</v>
      </c>
      <c r="B6" s="4" t="s">
        <v>218</v>
      </c>
      <c r="C6" s="4" t="s">
        <v>169</v>
      </c>
    </row>
    <row r="7" customFormat="false" ht="15" hidden="false" customHeight="false" outlineLevel="0" collapsed="false">
      <c r="A7" s="4" t="s">
        <v>151</v>
      </c>
      <c r="B7" s="4" t="s">
        <v>222</v>
      </c>
      <c r="C7" s="4" t="s">
        <v>283</v>
      </c>
    </row>
    <row r="8" customFormat="false" ht="15" hidden="false" customHeight="false" outlineLevel="0" collapsed="false">
      <c r="A8" s="4" t="s">
        <v>151</v>
      </c>
      <c r="B8" s="4" t="s">
        <v>226</v>
      </c>
      <c r="C8" s="4" t="s">
        <v>284</v>
      </c>
    </row>
    <row r="9" customFormat="false" ht="15" hidden="false" customHeight="false" outlineLevel="0" collapsed="false">
      <c r="A9" s="4" t="s">
        <v>151</v>
      </c>
      <c r="B9" s="4" t="s">
        <v>230</v>
      </c>
      <c r="C9" s="4" t="s">
        <v>285</v>
      </c>
    </row>
    <row r="10" customFormat="false" ht="15" hidden="false" customHeight="false" outlineLevel="0" collapsed="false">
      <c r="A10" s="4" t="s">
        <v>151</v>
      </c>
      <c r="B10" s="4" t="s">
        <v>234</v>
      </c>
      <c r="C10" s="4" t="s">
        <v>286</v>
      </c>
    </row>
    <row r="11" customFormat="false" ht="15" hidden="false" customHeight="false" outlineLevel="0" collapsed="false">
      <c r="A11" s="4" t="s">
        <v>151</v>
      </c>
      <c r="B11" s="4" t="s">
        <v>238</v>
      </c>
      <c r="C11" s="4" t="s">
        <v>287</v>
      </c>
    </row>
    <row r="12" customFormat="false" ht="15" hidden="false" customHeight="false" outlineLevel="0" collapsed="false">
      <c r="A12" s="4" t="s">
        <v>151</v>
      </c>
      <c r="B12" s="4" t="s">
        <v>242</v>
      </c>
      <c r="C12" s="4" t="s">
        <v>288</v>
      </c>
    </row>
    <row r="13" customFormat="false" ht="15" hidden="false" customHeight="false" outlineLevel="0" collapsed="false">
      <c r="A13" s="4" t="s">
        <v>151</v>
      </c>
      <c r="B13" s="4" t="s">
        <v>247</v>
      </c>
      <c r="C13" s="4" t="s">
        <v>169</v>
      </c>
    </row>
    <row r="14" customFormat="false" ht="15" hidden="false" customHeight="false" outlineLevel="0" collapsed="false">
      <c r="A14" s="4" t="s">
        <v>170</v>
      </c>
      <c r="B14" s="4" t="s">
        <v>199</v>
      </c>
      <c r="C14" s="4" t="s">
        <v>281</v>
      </c>
    </row>
    <row r="15" customFormat="false" ht="15" hidden="false" customHeight="false" outlineLevel="0" collapsed="false">
      <c r="A15" s="4" t="s">
        <v>170</v>
      </c>
      <c r="B15" s="4" t="s">
        <v>205</v>
      </c>
      <c r="C15" s="4" t="s">
        <v>151</v>
      </c>
    </row>
    <row r="16" customFormat="false" ht="15" hidden="false" customHeight="false" outlineLevel="0" collapsed="false">
      <c r="A16" s="4" t="s">
        <v>170</v>
      </c>
      <c r="B16" s="4" t="s">
        <v>210</v>
      </c>
      <c r="C16" s="4" t="s">
        <v>282</v>
      </c>
    </row>
    <row r="17" customFormat="false" ht="15" hidden="false" customHeight="false" outlineLevel="0" collapsed="false">
      <c r="A17" s="4" t="s">
        <v>170</v>
      </c>
      <c r="B17" s="4" t="s">
        <v>213</v>
      </c>
      <c r="C17" s="4" t="s">
        <v>155</v>
      </c>
    </row>
    <row r="18" customFormat="false" ht="15" hidden="false" customHeight="false" outlineLevel="0" collapsed="false">
      <c r="A18" s="4" t="s">
        <v>170</v>
      </c>
      <c r="B18" s="4" t="s">
        <v>218</v>
      </c>
      <c r="C18" s="4" t="s">
        <v>289</v>
      </c>
    </row>
    <row r="19" customFormat="false" ht="15" hidden="false" customHeight="false" outlineLevel="0" collapsed="false">
      <c r="A19" s="4" t="s">
        <v>170</v>
      </c>
      <c r="B19" s="4" t="s">
        <v>222</v>
      </c>
      <c r="C19" s="4" t="s">
        <v>281</v>
      </c>
    </row>
    <row r="20" customFormat="false" ht="15" hidden="false" customHeight="false" outlineLevel="0" collapsed="false">
      <c r="A20" s="4" t="s">
        <v>170</v>
      </c>
      <c r="B20" s="4" t="s">
        <v>226</v>
      </c>
      <c r="C20" s="4" t="s">
        <v>290</v>
      </c>
    </row>
    <row r="21" customFormat="false" ht="15" hidden="false" customHeight="false" outlineLevel="0" collapsed="false">
      <c r="A21" s="4" t="s">
        <v>170</v>
      </c>
      <c r="B21" s="4" t="s">
        <v>230</v>
      </c>
      <c r="C21" s="4" t="s">
        <v>285</v>
      </c>
    </row>
    <row r="22" customFormat="false" ht="15" hidden="false" customHeight="false" outlineLevel="0" collapsed="false">
      <c r="A22" s="4" t="s">
        <v>170</v>
      </c>
      <c r="B22" s="4" t="s">
        <v>234</v>
      </c>
      <c r="C22" s="4" t="s">
        <v>286</v>
      </c>
    </row>
    <row r="23" customFormat="false" ht="15" hidden="false" customHeight="false" outlineLevel="0" collapsed="false">
      <c r="A23" s="4" t="s">
        <v>170</v>
      </c>
      <c r="B23" s="4" t="s">
        <v>238</v>
      </c>
      <c r="C23" s="4" t="s">
        <v>291</v>
      </c>
    </row>
    <row r="24" customFormat="false" ht="15" hidden="false" customHeight="false" outlineLevel="0" collapsed="false">
      <c r="A24" s="4" t="s">
        <v>170</v>
      </c>
      <c r="B24" s="4" t="s">
        <v>242</v>
      </c>
      <c r="C24" s="4" t="s">
        <v>292</v>
      </c>
    </row>
    <row r="25" customFormat="false" ht="15" hidden="false" customHeight="false" outlineLevel="0" collapsed="false">
      <c r="A25" s="4" t="s">
        <v>170</v>
      </c>
      <c r="B25" s="4" t="s">
        <v>247</v>
      </c>
      <c r="C25" s="4" t="s">
        <v>289</v>
      </c>
    </row>
    <row r="26" customFormat="false" ht="15" hidden="false" customHeight="false" outlineLevel="0" collapsed="false">
      <c r="A26" s="4" t="s">
        <v>176</v>
      </c>
      <c r="B26" s="4" t="s">
        <v>199</v>
      </c>
      <c r="C26" s="4" t="s">
        <v>281</v>
      </c>
    </row>
    <row r="27" customFormat="false" ht="15" hidden="false" customHeight="false" outlineLevel="0" collapsed="false">
      <c r="A27" s="4" t="s">
        <v>176</v>
      </c>
      <c r="B27" s="4" t="s">
        <v>205</v>
      </c>
      <c r="C27" s="4" t="s">
        <v>151</v>
      </c>
    </row>
    <row r="28" customFormat="false" ht="15" hidden="false" customHeight="false" outlineLevel="0" collapsed="false">
      <c r="A28" s="4" t="s">
        <v>176</v>
      </c>
      <c r="B28" s="4" t="s">
        <v>210</v>
      </c>
      <c r="C28" s="4" t="s">
        <v>282</v>
      </c>
    </row>
    <row r="29" customFormat="false" ht="15" hidden="false" customHeight="false" outlineLevel="0" collapsed="false">
      <c r="A29" s="4" t="s">
        <v>176</v>
      </c>
      <c r="B29" s="4" t="s">
        <v>213</v>
      </c>
      <c r="C29" s="4" t="s">
        <v>155</v>
      </c>
    </row>
    <row r="30" customFormat="false" ht="15" hidden="false" customHeight="false" outlineLevel="0" collapsed="false">
      <c r="A30" s="4" t="s">
        <v>176</v>
      </c>
      <c r="B30" s="4" t="s">
        <v>218</v>
      </c>
      <c r="C30" s="4" t="s">
        <v>169</v>
      </c>
    </row>
    <row r="31" customFormat="false" ht="15" hidden="false" customHeight="false" outlineLevel="0" collapsed="false">
      <c r="A31" s="4" t="s">
        <v>176</v>
      </c>
      <c r="B31" s="4" t="s">
        <v>222</v>
      </c>
      <c r="C31" s="4" t="s">
        <v>283</v>
      </c>
    </row>
    <row r="32" customFormat="false" ht="15" hidden="false" customHeight="false" outlineLevel="0" collapsed="false">
      <c r="A32" s="4" t="s">
        <v>176</v>
      </c>
      <c r="B32" s="4" t="s">
        <v>226</v>
      </c>
      <c r="C32" s="4" t="s">
        <v>290</v>
      </c>
    </row>
    <row r="33" customFormat="false" ht="15" hidden="false" customHeight="false" outlineLevel="0" collapsed="false">
      <c r="A33" s="4" t="s">
        <v>176</v>
      </c>
      <c r="B33" s="4" t="s">
        <v>230</v>
      </c>
      <c r="C33" s="4" t="s">
        <v>285</v>
      </c>
    </row>
    <row r="34" customFormat="false" ht="15" hidden="false" customHeight="false" outlineLevel="0" collapsed="false">
      <c r="A34" s="4" t="s">
        <v>176</v>
      </c>
      <c r="B34" s="4" t="s">
        <v>234</v>
      </c>
      <c r="C34" s="4" t="s">
        <v>286</v>
      </c>
    </row>
    <row r="35" customFormat="false" ht="15" hidden="false" customHeight="false" outlineLevel="0" collapsed="false">
      <c r="A35" s="4" t="s">
        <v>176</v>
      </c>
      <c r="B35" s="4" t="s">
        <v>238</v>
      </c>
      <c r="C35" s="4" t="s">
        <v>293</v>
      </c>
    </row>
    <row r="36" customFormat="false" ht="15" hidden="false" customHeight="false" outlineLevel="0" collapsed="false">
      <c r="A36" s="4" t="s">
        <v>176</v>
      </c>
      <c r="B36" s="4" t="s">
        <v>242</v>
      </c>
      <c r="C36" s="4" t="s">
        <v>155</v>
      </c>
    </row>
    <row r="37" customFormat="false" ht="15" hidden="false" customHeight="false" outlineLevel="0" collapsed="false">
      <c r="A37" s="4" t="s">
        <v>176</v>
      </c>
      <c r="B37" s="4" t="s">
        <v>247</v>
      </c>
      <c r="C37" s="4" t="s">
        <v>289</v>
      </c>
    </row>
    <row r="38" customFormat="false" ht="15" hidden="false" customHeight="false" outlineLevel="0" collapsed="false">
      <c r="A38" s="4" t="s">
        <v>179</v>
      </c>
      <c r="B38" s="4" t="s">
        <v>199</v>
      </c>
      <c r="C38" s="4" t="s">
        <v>281</v>
      </c>
    </row>
    <row r="39" customFormat="false" ht="15" hidden="false" customHeight="false" outlineLevel="0" collapsed="false">
      <c r="A39" s="4" t="s">
        <v>179</v>
      </c>
      <c r="B39" s="4" t="s">
        <v>205</v>
      </c>
      <c r="C39" s="4" t="s">
        <v>151</v>
      </c>
    </row>
    <row r="40" customFormat="false" ht="15" hidden="false" customHeight="false" outlineLevel="0" collapsed="false">
      <c r="A40" s="4" t="s">
        <v>179</v>
      </c>
      <c r="B40" s="4" t="s">
        <v>210</v>
      </c>
      <c r="C40" s="4" t="s">
        <v>282</v>
      </c>
    </row>
    <row r="41" customFormat="false" ht="15" hidden="false" customHeight="false" outlineLevel="0" collapsed="false">
      <c r="A41" s="4" t="s">
        <v>179</v>
      </c>
      <c r="B41" s="4" t="s">
        <v>213</v>
      </c>
      <c r="C41" s="4" t="s">
        <v>155</v>
      </c>
    </row>
    <row r="42" customFormat="false" ht="15" hidden="false" customHeight="false" outlineLevel="0" collapsed="false">
      <c r="A42" s="4" t="s">
        <v>179</v>
      </c>
      <c r="B42" s="4" t="s">
        <v>218</v>
      </c>
      <c r="C42" s="4" t="s">
        <v>169</v>
      </c>
    </row>
    <row r="43" customFormat="false" ht="15" hidden="false" customHeight="false" outlineLevel="0" collapsed="false">
      <c r="A43" s="4" t="s">
        <v>179</v>
      </c>
      <c r="B43" s="4" t="s">
        <v>222</v>
      </c>
      <c r="C43" s="4" t="s">
        <v>283</v>
      </c>
    </row>
    <row r="44" customFormat="false" ht="15" hidden="false" customHeight="false" outlineLevel="0" collapsed="false">
      <c r="A44" s="4" t="s">
        <v>179</v>
      </c>
      <c r="B44" s="4" t="s">
        <v>226</v>
      </c>
      <c r="C44" s="4" t="s">
        <v>290</v>
      </c>
    </row>
    <row r="45" customFormat="false" ht="15" hidden="false" customHeight="false" outlineLevel="0" collapsed="false">
      <c r="A45" s="4" t="s">
        <v>179</v>
      </c>
      <c r="B45" s="4" t="s">
        <v>230</v>
      </c>
      <c r="C45" s="4" t="s">
        <v>285</v>
      </c>
    </row>
    <row r="46" customFormat="false" ht="15" hidden="false" customHeight="false" outlineLevel="0" collapsed="false">
      <c r="A46" s="4" t="s">
        <v>179</v>
      </c>
      <c r="B46" s="4" t="s">
        <v>234</v>
      </c>
      <c r="C46" s="4" t="s">
        <v>286</v>
      </c>
    </row>
    <row r="47" customFormat="false" ht="15" hidden="false" customHeight="false" outlineLevel="0" collapsed="false">
      <c r="A47" s="4" t="s">
        <v>179</v>
      </c>
      <c r="B47" s="4" t="s">
        <v>238</v>
      </c>
      <c r="C47" s="4" t="s">
        <v>294</v>
      </c>
    </row>
    <row r="48" customFormat="false" ht="15" hidden="false" customHeight="false" outlineLevel="0" collapsed="false">
      <c r="A48" s="4" t="s">
        <v>179</v>
      </c>
      <c r="B48" s="4" t="s">
        <v>242</v>
      </c>
      <c r="C48" s="4" t="s">
        <v>155</v>
      </c>
    </row>
    <row r="49" customFormat="false" ht="15" hidden="false" customHeight="false" outlineLevel="0" collapsed="false">
      <c r="A49" s="4" t="s">
        <v>179</v>
      </c>
      <c r="B49" s="4" t="s">
        <v>247</v>
      </c>
      <c r="C49" s="4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149</v>
      </c>
      <c r="B1" s="3" t="s">
        <v>7</v>
      </c>
    </row>
    <row r="2" customFormat="false" ht="15" hidden="false" customHeight="false" outlineLevel="0" collapsed="false">
      <c r="A2" s="4" t="s">
        <v>295</v>
      </c>
      <c r="B2" s="4" t="n">
        <v>12</v>
      </c>
    </row>
    <row r="3" customFormat="false" ht="15" hidden="false" customHeight="false" outlineLevel="0" collapsed="false">
      <c r="A3" s="4" t="s">
        <v>296</v>
      </c>
      <c r="B3" s="4" t="n">
        <v>8</v>
      </c>
    </row>
    <row r="4" customFormat="false" ht="15" hidden="false" customHeight="false" outlineLevel="0" collapsed="false">
      <c r="A4" s="4" t="s">
        <v>297</v>
      </c>
      <c r="B4" s="4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298</v>
      </c>
    </row>
    <row r="2" customFormat="false" ht="15" hidden="false" customHeight="false" outlineLevel="0" collapsed="false">
      <c r="A2" s="5" t="s">
        <v>299</v>
      </c>
    </row>
    <row r="4" customFormat="false" ht="15" hidden="false" customHeight="false" outlineLevel="0" collapsed="false">
      <c r="A4" s="2" t="s">
        <v>300</v>
      </c>
      <c r="B4" s="6" t="n">
        <f aca="false">100*(D_worked_example_normalization!B2-MIN(D_worked_example_normalization!B2:B4))/(MAX(D_worked_example_normalization!B2:B4)-MIN(D_worked_example_normalization!B2:B4))</f>
        <v>100</v>
      </c>
    </row>
    <row r="5" customFormat="false" ht="15" hidden="false" customHeight="false" outlineLevel="0" collapsed="false">
      <c r="A5" s="2" t="s">
        <v>301</v>
      </c>
      <c r="B5" s="6" t="n">
        <f aca="false">100*(D_worked_example_normalization!B4-MIN(D_worked_example_normalization!B2:B4))/(MAX(D_worked_example_normalization!B2:B4)-MIN(D_worked_example_normalization!B2:B4))</f>
        <v>50</v>
      </c>
    </row>
    <row r="6" customFormat="false" ht="15" hidden="false" customHeight="false" outlineLevel="0" collapsed="false">
      <c r="A6" s="2" t="s">
        <v>302</v>
      </c>
      <c r="B6" s="6" t="n">
        <f aca="false">100*(MAX(D_worked_example_normalization!B2:B4)-D_worked_example_normalization!B2)/(MAX(D_worked_example_normalization!B2:B4)-MIN(D_worked_example_normalization!B2:B4))</f>
        <v>0</v>
      </c>
    </row>
    <row r="7" customFormat="false" ht="15" hidden="false" customHeight="false" outlineLevel="0" collapsed="false">
      <c r="A7" s="2" t="s">
        <v>303</v>
      </c>
      <c r="B7" s="6" t="n">
        <f aca="false">100*(MAX(D_worked_example_normalization!B2:B4)-D_worked_example_normalization!B3)/(MAX(D_worked_example_normalization!B2:B4)-MIN(D_worked_example_normalization!B2:B4))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5" t="s">
        <v>305</v>
      </c>
    </row>
    <row r="4" customFormat="false" ht="15" hidden="false" customHeight="false" outlineLevel="0" collapsed="false">
      <c r="A4" s="2" t="s">
        <v>306</v>
      </c>
      <c r="B4" s="7" t="n">
        <f aca="false">D_state_opening!B11*D_state_opening!B3</f>
        <v>3720</v>
      </c>
    </row>
    <row r="5" customFormat="false" ht="15" hidden="false" customHeight="false" outlineLevel="0" collapsed="false">
      <c r="A5" s="2" t="s">
        <v>307</v>
      </c>
      <c r="B5" s="8" t="n">
        <f aca="false">(D_state_opening!B2-D_state_opening!B11*D_state_opening!B3)*(1-D_state_opening!B10)/D_state_opening!B3</f>
        <v>0.127354838709677</v>
      </c>
    </row>
    <row r="6" customFormat="false" ht="15" hidden="false" customHeight="false" outlineLevel="0" collapsed="false">
      <c r="A6" s="2" t="s">
        <v>308</v>
      </c>
      <c r="B6" s="7" t="n">
        <f aca="false">D_state_opening!B2-D_state_opening!B10*(D_state_opening!B2-D_state_opening!B11*D_state_opening!B3)-D_state_opening!B5</f>
        <v>7116</v>
      </c>
    </row>
    <row r="7" customFormat="false" ht="15" hidden="false" customHeight="false" outlineLevel="0" collapsed="false">
      <c r="A7" s="2" t="s">
        <v>309</v>
      </c>
      <c r="B7" s="9" t="n">
        <f aca="false">D_state_opening!B4/D_state_opening!B2</f>
        <v>1.3</v>
      </c>
    </row>
    <row r="8" customFormat="false" ht="15" hidden="false" customHeight="false" outlineLevel="0" collapsed="false">
      <c r="A8" s="2" t="s">
        <v>310</v>
      </c>
      <c r="B8" s="9" t="n">
        <f aca="false">SUM(D_kpi_definitions!B2:B8)</f>
        <v>1</v>
      </c>
    </row>
    <row r="9" customFormat="false" ht="15" hidden="false" customHeight="false" outlineLevel="0" collapsed="false">
      <c r="A9" s="2" t="s">
        <v>311</v>
      </c>
      <c r="B9" s="10" t="n">
        <v>-1.5</v>
      </c>
    </row>
    <row r="10" customFormat="false" ht="15" hidden="false" customHeight="false" outlineLevel="0" collapsed="false">
      <c r="A10" s="2" t="s">
        <v>312</v>
      </c>
      <c r="B10" s="11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2026-10-02T10:47:57Z</dcterms:created>
  <dc:creator>openpyxl</dc:creator>
  <dc:description/>
  <dc:language>en-US</dc:language>
  <cp:lastModifiedBy/>
  <dcterms:modified xsi:type="dcterms:W3CDTF">2026-10-02T10:47:57Z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