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_window2_params" sheetId="2" state="visible" r:id="rId4"/>
    <sheet name="D_cohort_states" sheetId="3" state="visible" r:id="rId5"/>
    <sheet name="D_baton_rouge_margin" sheetId="4" state="visible" r:id="rId6"/>
    <sheet name="D_week8_link" sheetId="5" state="visible" r:id="rId7"/>
    <sheet name="D_worked_example_window" sheetId="6" state="visible" r:id="rId8"/>
    <sheet name="Worked Example" sheetId="7" state="visible" r:id="rId9"/>
    <sheet name="Your Analysi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<sst xmlns="http://schemas.openxmlformats.org/spreadsheetml/2006/main" count="57" uniqueCount="51">
  <si>
    <t xml:space="preserve">Halden Energy — Week 6→8 cohort window 2: Cohort feedback window 2 — Gulf Coast capacity additions — FACULTY SOLUTION</t>
  </si>
  <si>
    <t xml:space="preserve">Faculty and platform only. Students must not see this function before the Week 8 reveal, or they can game the Week 6 decision.</t>
  </si>
  <si>
    <t xml:space="preserve">Cohort metric: the share of teams in the section that fund the Baton Rouge crude flexibility upgrade in Week 6 (the Gulf Coast capacity addition).</t>
  </si>
  <si>
    <t xml:space="preserve">Response: a market-wide shift to the Gulf Coast crack in Week 8, applied to every team, added on top of the OPEC propagation. Overbuild hurts about twice as much as restraint helps.</t>
  </si>
  <si>
    <t xml:space="preserve">Tabs: D_* = canonical data (read-only). Worked Example = solved on adjacent data. Your Analysis = fill the yellow cells.</t>
  </si>
  <si>
    <t xml:space="preserve">Legend: blue = input, black = formula, yellow = you fill in.</t>
  </si>
  <si>
    <t xml:space="preserve">parameter</t>
  </si>
  <si>
    <t xml:space="preserve">value</t>
  </si>
  <si>
    <t xml:space="preserve">pivot_share</t>
  </si>
  <si>
    <t xml:space="preserve">down_slope</t>
  </si>
  <si>
    <t xml:space="preserve">up_slope</t>
  </si>
  <si>
    <t xml:space="preserve">bound_pct</t>
  </si>
  <si>
    <t xml:space="preserve">state</t>
  </si>
  <si>
    <t xml:space="preserve">gc_capacity_add_share</t>
  </si>
  <si>
    <t xml:space="preserve">all_add</t>
  </si>
  <si>
    <t xml:space="preserve">most_add</t>
  </si>
  <si>
    <t xml:space="preserve">split</t>
  </si>
  <si>
    <t xml:space="preserve">few_add</t>
  </si>
  <si>
    <t xml:space="preserve">none_add</t>
  </si>
  <si>
    <t xml:space="preserve">gc_crack_base</t>
  </si>
  <si>
    <t xml:space="preserve">complexity</t>
  </si>
  <si>
    <t xml:space="preserve">opex</t>
  </si>
  <si>
    <t xml:space="preserve">crack_coefficient</t>
  </si>
  <si>
    <t xml:space="preserve">holds_full_delta_wti</t>
  </si>
  <si>
    <t xml:space="preserve">pivot</t>
  </si>
  <si>
    <t xml:space="preserve">down</t>
  </si>
  <si>
    <t xml:space="preserve">up</t>
  </si>
  <si>
    <t xml:space="preserve">base_margin</t>
  </si>
  <si>
    <t xml:space="preserve">share_high</t>
  </si>
  <si>
    <t xml:space="preserve">share_low</t>
  </si>
  <si>
    <t xml:space="preserve">Worked Example — solved on adjacent data. Study the method, then do Your Analysis.</t>
  </si>
  <si>
    <t xml:space="preserve">Illustration with simpler numbers: when 90% of the room adds capacity the margin falls 1.60; when only 10% does it rises 0.80. Overbuild hurts twice as much as restraint helps.</t>
  </si>
  <si>
    <t xml:space="preserve">Shift when 90% of the room adds capacity</t>
  </si>
  <si>
    <t xml:space="preserve">Shift when 10% adds</t>
  </si>
  <si>
    <t xml:space="preserve">Margin under overbuild</t>
  </si>
  <si>
    <t xml:space="preserve">Margin under restraint</t>
  </si>
  <si>
    <t xml:space="preserve">Your Analysis — fill the YELLOW cells (faculty solution shown)</t>
  </si>
  <si>
    <t xml:space="preserve">Faculty solution. Shift = IF(share &gt; pivot, −down × (share − pivot), up × (pivot − share)).</t>
  </si>
  <si>
    <t xml:space="preserve">Baton Rouge net margin before any cohort effect ($/bbl)</t>
  </si>
  <si>
    <t xml:space="preserve">Week 8 crack shift — cohort all add ($/bbl)</t>
  </si>
  <si>
    <t xml:space="preserve">Baton Rouge margin change — cohort all add</t>
  </si>
  <si>
    <t xml:space="preserve">Week 8 crack shift — cohort most add ($/bbl)</t>
  </si>
  <si>
    <t xml:space="preserve">Baton Rouge margin change — cohort most add</t>
  </si>
  <si>
    <t xml:space="preserve">Week 8 crack shift — cohort split ($/bbl)</t>
  </si>
  <si>
    <t xml:space="preserve">Baton Rouge margin change — cohort split</t>
  </si>
  <si>
    <t xml:space="preserve">Week 8 crack shift — cohort few add ($/bbl)</t>
  </si>
  <si>
    <t xml:space="preserve">Baton Rouge margin change — cohort few add</t>
  </si>
  <si>
    <t xml:space="preserve">Week 8 crack shift — cohort none add ($/bbl)</t>
  </si>
  <si>
    <t xml:space="preserve">Baton Rouge margin change — cohort none add</t>
  </si>
  <si>
    <t xml:space="preserve">Worst case: crack after OPEC holds-full plus universal overbuild ($/bbl)</t>
  </si>
  <si>
    <t xml:space="preserve">Worst case: Baton Rouge margin ($/bbl)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</si>
</sst>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</row>
    <row r="2" customFormat="false" ht="15" hidden="false" customHeight="false" outlineLevel="0" collapsed="false">
      <c r="A2" s="4" t="s">
        <v>8</v>
      </c>
      <c r="B2" s="4" t="n">
        <v>0.5</v>
      </c>
    </row>
    <row r="3" customFormat="false" ht="15" hidden="false" customHeight="false" outlineLevel="0" collapsed="false">
      <c r="A3" s="4" t="s">
        <v>9</v>
      </c>
      <c r="B3" s="4" t="n">
        <v>6</v>
      </c>
    </row>
    <row r="4" customFormat="false" ht="15" hidden="false" customHeight="false" outlineLevel="0" collapsed="false">
      <c r="A4" s="4" t="s">
        <v>10</v>
      </c>
      <c r="B4" s="4" t="n">
        <v>3</v>
      </c>
    </row>
    <row r="5" customFormat="false" ht="15" hidden="false" customHeight="false" outlineLevel="0" collapsed="false">
      <c r="A5" s="4" t="s">
        <v>11</v>
      </c>
      <c r="B5" s="4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3"/>
  </cols>
  <sheetData>
    <row r="1" customFormat="false" ht="15" hidden="false" customHeight="false" outlineLevel="0" collapsed="false">
      <c r="A1" s="3" t="s">
        <v>12</v>
      </c>
      <c r="B1" s="3" t="s">
        <v>13</v>
      </c>
    </row>
    <row r="2" customFormat="false" ht="15" hidden="false" customHeight="false" outlineLevel="0" collapsed="false">
      <c r="A2" s="4" t="s">
        <v>14</v>
      </c>
      <c r="B2" s="4" t="n">
        <v>1</v>
      </c>
    </row>
    <row r="3" customFormat="false" ht="15" hidden="false" customHeight="false" outlineLevel="0" collapsed="false">
      <c r="A3" s="4" t="s">
        <v>15</v>
      </c>
      <c r="B3" s="4" t="n">
        <v>0.75</v>
      </c>
    </row>
    <row r="4" customFormat="false" ht="15" hidden="false" customHeight="false" outlineLevel="0" collapsed="false">
      <c r="A4" s="4" t="s">
        <v>16</v>
      </c>
      <c r="B4" s="4" t="n">
        <v>0.5</v>
      </c>
    </row>
    <row r="5" customFormat="false" ht="15" hidden="false" customHeight="false" outlineLevel="0" collapsed="false">
      <c r="A5" s="4" t="s">
        <v>17</v>
      </c>
      <c r="B5" s="4" t="n">
        <v>0.25</v>
      </c>
    </row>
    <row r="6" customFormat="false" ht="15" hidden="false" customHeight="false" outlineLevel="0" collapsed="false">
      <c r="A6" s="4" t="s">
        <v>18</v>
      </c>
      <c r="B6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</row>
    <row r="2" customFormat="false" ht="15" hidden="false" customHeight="false" outlineLevel="0" collapsed="false">
      <c r="A2" s="4" t="s">
        <v>19</v>
      </c>
      <c r="B2" s="4" t="n">
        <v>21.5</v>
      </c>
    </row>
    <row r="3" customFormat="false" ht="15" hidden="false" customHeight="false" outlineLevel="0" collapsed="false">
      <c r="A3" s="4" t="s">
        <v>20</v>
      </c>
      <c r="B3" s="4" t="n">
        <v>4.75</v>
      </c>
    </row>
    <row r="4" customFormat="false" ht="15" hidden="false" customHeight="false" outlineLevel="0" collapsed="false">
      <c r="A4" s="4" t="s">
        <v>21</v>
      </c>
      <c r="B4" s="4" t="n">
        <v>5.9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</row>
    <row r="2" customFormat="false" ht="15" hidden="false" customHeight="false" outlineLevel="0" collapsed="false">
      <c r="A2" s="4" t="s">
        <v>22</v>
      </c>
      <c r="B2" s="4" t="n">
        <v>-0.35</v>
      </c>
    </row>
    <row r="3" customFormat="false" ht="15" hidden="false" customHeight="false" outlineLevel="0" collapsed="false">
      <c r="A3" s="4" t="s">
        <v>23</v>
      </c>
      <c r="B3" s="4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</row>
    <row r="2" customFormat="false" ht="15" hidden="false" customHeight="false" outlineLevel="0" collapsed="false">
      <c r="A2" s="4" t="s">
        <v>24</v>
      </c>
      <c r="B2" s="4" t="n">
        <v>0.5</v>
      </c>
    </row>
    <row r="3" customFormat="false" ht="15" hidden="false" customHeight="false" outlineLevel="0" collapsed="false">
      <c r="A3" s="4" t="s">
        <v>25</v>
      </c>
      <c r="B3" s="4" t="n">
        <v>4</v>
      </c>
    </row>
    <row r="4" customFormat="false" ht="15" hidden="false" customHeight="false" outlineLevel="0" collapsed="false">
      <c r="A4" s="4" t="s">
        <v>26</v>
      </c>
      <c r="B4" s="4" t="n">
        <v>2</v>
      </c>
    </row>
    <row r="5" customFormat="false" ht="15" hidden="false" customHeight="false" outlineLevel="0" collapsed="false">
      <c r="A5" s="4" t="s">
        <v>27</v>
      </c>
      <c r="B5" s="4" t="n">
        <v>10</v>
      </c>
    </row>
    <row r="6" customFormat="false" ht="15" hidden="false" customHeight="false" outlineLevel="0" collapsed="false">
      <c r="A6" s="4" t="s">
        <v>28</v>
      </c>
      <c r="B6" s="4" t="n">
        <v>0.9</v>
      </c>
    </row>
    <row r="7" customFormat="false" ht="15" hidden="false" customHeight="false" outlineLevel="0" collapsed="false">
      <c r="A7" s="4" t="s">
        <v>29</v>
      </c>
      <c r="B7" s="4" t="n"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30</v>
      </c>
    </row>
    <row r="2" customFormat="false" ht="15" hidden="false" customHeight="false" outlineLevel="0" collapsed="false">
      <c r="A2" s="5" t="s">
        <v>31</v>
      </c>
    </row>
    <row r="4" customFormat="false" ht="15" hidden="false" customHeight="false" outlineLevel="0" collapsed="false">
      <c r="A4" s="2" t="s">
        <v>32</v>
      </c>
      <c r="B4" s="6" t="n">
        <f aca="false">(-D_worked_example_window!B3*(D_worked_example_window!B6-D_worked_example_window!B2))</f>
        <v>-1.6</v>
      </c>
    </row>
    <row r="5" customFormat="false" ht="15" hidden="false" customHeight="false" outlineLevel="0" collapsed="false">
      <c r="A5" s="2" t="s">
        <v>33</v>
      </c>
      <c r="B5" s="6" t="n">
        <f aca="false">(D_worked_example_window!B4*(D_worked_example_window!B2-D_worked_example_window!B7))</f>
        <v>0.8</v>
      </c>
    </row>
    <row r="6" customFormat="false" ht="15" hidden="false" customHeight="false" outlineLevel="0" collapsed="false">
      <c r="A6" s="2" t="s">
        <v>34</v>
      </c>
      <c r="B6" s="6" t="n">
        <f aca="false">D_worked_example_window!B5+(-D_worked_example_window!B3*(D_worked_example_window!B6-D_worked_example_window!B2))</f>
        <v>8.4</v>
      </c>
    </row>
    <row r="7" customFormat="false" ht="15" hidden="false" customHeight="false" outlineLevel="0" collapsed="false">
      <c r="A7" s="2" t="s">
        <v>35</v>
      </c>
      <c r="B7" s="6" t="n">
        <f aca="false">D_worked_example_window!B5+(D_worked_example_window!B4*(D_worked_example_window!B2-D_worked_example_window!B7))</f>
        <v>10.8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" t="s">
        <v>36</v>
      </c>
    </row>
    <row r="2" customFormat="false" ht="15" hidden="false" customHeight="false" outlineLevel="0" collapsed="false">
      <c r="A2" s="5" t="s">
        <v>37</v>
      </c>
    </row>
    <row r="4" customFormat="false" ht="15" hidden="false" customHeight="false" outlineLevel="0" collapsed="false">
      <c r="A4" s="2" t="s">
        <v>38</v>
      </c>
      <c r="B4" s="7" t="n">
        <f aca="false">D_baton_rouge_margin!B2+D_baton_rouge_margin!B3-D_baton_rouge_margin!B4</f>
        <v>20.35</v>
      </c>
    </row>
    <row r="5" customFormat="false" ht="15" hidden="false" customHeight="false" outlineLevel="0" collapsed="false">
      <c r="A5" s="2" t="s">
        <v>39</v>
      </c>
      <c r="B5" s="7" t="n">
        <f aca="false">IF(D_cohort_states!B2&gt;D_window2_params!B2,-D_window2_params!B3*(D_cohort_states!B2-D_window2_params!B2),D_window2_params!B4*(D_window2_params!B2-D_cohort_states!B2))</f>
        <v>-3</v>
      </c>
    </row>
    <row r="6" customFormat="false" ht="15" hidden="false" customHeight="false" outlineLevel="0" collapsed="false">
      <c r="A6" s="2" t="s">
        <v>40</v>
      </c>
      <c r="B6" s="8" t="n">
        <f aca="false">B5/B4</f>
        <v>-0.147420147420147</v>
      </c>
    </row>
    <row r="7" customFormat="false" ht="15" hidden="false" customHeight="false" outlineLevel="0" collapsed="false">
      <c r="A7" s="2" t="s">
        <v>41</v>
      </c>
      <c r="B7" s="7" t="n">
        <f aca="false">IF(D_cohort_states!B3&gt;D_window2_params!B2,-D_window2_params!B3*(D_cohort_states!B3-D_window2_params!B2),D_window2_params!B4*(D_window2_params!B2-D_cohort_states!B3))</f>
        <v>-1.5</v>
      </c>
    </row>
    <row r="8" customFormat="false" ht="15" hidden="false" customHeight="false" outlineLevel="0" collapsed="false">
      <c r="A8" s="2" t="s">
        <v>42</v>
      </c>
      <c r="B8" s="8" t="n">
        <f aca="false">B7/B4</f>
        <v>-0.0737100737100737</v>
      </c>
    </row>
    <row r="9" customFormat="false" ht="15" hidden="false" customHeight="false" outlineLevel="0" collapsed="false">
      <c r="A9" s="2" t="s">
        <v>43</v>
      </c>
      <c r="B9" s="7" t="n">
        <f aca="false">IF(D_cohort_states!B4&gt;D_window2_params!B2,-D_window2_params!B3*(D_cohort_states!B4-D_window2_params!B2),D_window2_params!B4*(D_window2_params!B2-D_cohort_states!B4))</f>
        <v>0</v>
      </c>
    </row>
    <row r="10" customFormat="false" ht="15" hidden="false" customHeight="false" outlineLevel="0" collapsed="false">
      <c r="A10" s="2" t="s">
        <v>44</v>
      </c>
      <c r="B10" s="8" t="n">
        <f aca="false">B9/B4</f>
        <v>0</v>
      </c>
    </row>
    <row r="11" customFormat="false" ht="15" hidden="false" customHeight="false" outlineLevel="0" collapsed="false">
      <c r="A11" s="2" t="s">
        <v>45</v>
      </c>
      <c r="B11" s="7" t="n">
        <f aca="false">IF(D_cohort_states!B5&gt;D_window2_params!B2,-D_window2_params!B3*(D_cohort_states!B5-D_window2_params!B2),D_window2_params!B4*(D_window2_params!B2-D_cohort_states!B5))</f>
        <v>0.75</v>
      </c>
    </row>
    <row r="12" customFormat="false" ht="15" hidden="false" customHeight="false" outlineLevel="0" collapsed="false">
      <c r="A12" s="2" t="s">
        <v>46</v>
      </c>
      <c r="B12" s="8" t="n">
        <f aca="false">B11/B4</f>
        <v>0.0368550368550369</v>
      </c>
    </row>
    <row r="13" customFormat="false" ht="15" hidden="false" customHeight="false" outlineLevel="0" collapsed="false">
      <c r="A13" s="2" t="s">
        <v>47</v>
      </c>
      <c r="B13" s="7" t="n">
        <f aca="false">IF(D_cohort_states!B6&gt;D_window2_params!B2,-D_window2_params!B3*(D_cohort_states!B6-D_window2_params!B2),D_window2_params!B4*(D_window2_params!B2-D_cohort_states!B6))</f>
        <v>1.5</v>
      </c>
    </row>
    <row r="14" customFormat="false" ht="15" hidden="false" customHeight="false" outlineLevel="0" collapsed="false">
      <c r="A14" s="2" t="s">
        <v>48</v>
      </c>
      <c r="B14" s="8" t="n">
        <f aca="false">B13/B4</f>
        <v>0.0737100737100737</v>
      </c>
    </row>
    <row r="15" customFormat="false" ht="15" hidden="false" customHeight="false" outlineLevel="0" collapsed="false">
      <c r="A15" s="2" t="s">
        <v>49</v>
      </c>
      <c r="B15" s="7" t="n">
        <f aca="false">D_baton_rouge_margin!B2+D_week8_link!B2*D_week8_link!B3+B5</f>
        <v>13.6</v>
      </c>
    </row>
    <row r="16" customFormat="false" ht="15" hidden="false" customHeight="false" outlineLevel="0" collapsed="false">
      <c r="A16" s="2" t="s">
        <v>50</v>
      </c>
      <c r="B16" s="7" t="n">
        <f aca="false">B15+D_baton_rouge_margin!B3-D_baton_rouge_margin!B4</f>
        <v>12.45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2026-10-02T10:33:40Z</dcterms:created>
  <dc:creator>openpyxl</dc:creator>
  <dc:description/>
  <dc:language>en-US</dc:language>
  <cp:lastModifiedBy/>
  <dcterms:modified xsi:type="dcterms:W3CDTF">2026-10-02T10:33:40Z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