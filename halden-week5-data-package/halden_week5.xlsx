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fx_shock" sheetId="2" state="visible" r:id="rId4"/>
    <sheet name="D_entity_flows" sheetId="3" state="visible" r:id="rId5"/>
    <sheet name="D_norway_unit_cost" sheetId="4" state="visible" r:id="rId6"/>
    <sheet name="D_existing_hedges" sheetId="5" state="visible" r:id="rId7"/>
    <sheet name="D_forwards_options" sheetId="6" state="visible" r:id="rId8"/>
    <sheet name="D_worked_example_entity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<sst xmlns="http://schemas.openxmlformats.org/spreadsheetml/2006/main" count="80" uniqueCount="66">
  <si>
    <t xml:space="preserve">Halden Energy — Week 5: Currency — transaction, translation, economic exposure</t>
  </si>
  <si>
    <t xml:space="preserve">The dollar strengthens: the euro falls 6.5%, the krone 7.7%, the Singapore dollar barely moves.</t>
  </si>
  <si>
    <t xml:space="preserve">The shock is not uniformly bad. Krone weakness lowers Norwegian costs in dollars. European retail takes a translation hit students often miss.</t>
  </si>
  <si>
    <t xml:space="preserve">Rotterdam is a partial natural hedge: euro revenue offsets euro costs. Hedging its gross euro costs creates exposure instead of removing it.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</si>
  <si>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</si>
  <si>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</si>
  <si>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pair</t>
  </si>
  <si>
    <t xml:space="preserve">pre</t>
  </si>
  <si>
    <t xml:space="preserve">post</t>
  </si>
  <si>
    <t xml:space="preserve">EURUSD</t>
  </si>
  <si>
    <t xml:space="preserve">USDNOK</t>
  </si>
  <si>
    <t xml:space="preserve">USDSGD</t>
  </si>
  <si>
    <t xml:space="preserve">flow_id</t>
  </si>
  <si>
    <t xml:space="preserve">entity</t>
  </si>
  <si>
    <t xml:space="preserve">currency</t>
  </si>
  <si>
    <t xml:space="preserve">annual_musd_pre</t>
  </si>
  <si>
    <t xml:space="preserve">norway_revenue</t>
  </si>
  <si>
    <t xml:space="preserve">Norwegian upstream</t>
  </si>
  <si>
    <t xml:space="preserve">USD</t>
  </si>
  <si>
    <t xml:space="preserve">norway_costs</t>
  </si>
  <si>
    <t xml:space="preserve">NOK</t>
  </si>
  <si>
    <t xml:space="preserve">euro_retail_receipts</t>
  </si>
  <si>
    <t xml:space="preserve">European retail</t>
  </si>
  <si>
    <t xml:space="preserve">EUR</t>
  </si>
  <si>
    <t xml:space="preserve">rot_product_revenue</t>
  </si>
  <si>
    <t xml:space="preserve">Rotterdam</t>
  </si>
  <si>
    <t xml:space="preserve">rot_eur_costs</t>
  </si>
  <si>
    <t xml:space="preserve">rot_usd_crude</t>
  </si>
  <si>
    <t xml:space="preserve">sing_net_earnings</t>
  </si>
  <si>
    <t xml:space="preserve">Singapore JV (40%)</t>
  </si>
  <si>
    <t xml:space="preserve">SGD</t>
  </si>
  <si>
    <t xml:space="preserve">parameter</t>
  </si>
  <si>
    <t xml:space="preserve">value</t>
  </si>
  <si>
    <t xml:space="preserve">lifting_usd_pre</t>
  </si>
  <si>
    <t xml:space="preserve">hedge_id</t>
  </si>
  <si>
    <t xml:space="preserve">direction</t>
  </si>
  <si>
    <t xml:space="preserve">notional_musd</t>
  </si>
  <si>
    <t xml:space="preserve">maturity_months</t>
  </si>
  <si>
    <t xml:space="preserve">eur_forward_sell</t>
  </si>
  <si>
    <t xml:space="preserve">sell_EUR</t>
  </si>
  <si>
    <t xml:space="preserve">forward_1y</t>
  </si>
  <si>
    <t xml:space="preserve">collar_premium_pct</t>
  </si>
  <si>
    <t xml:space="preserve">eur_revenue</t>
  </si>
  <si>
    <t xml:space="preserve">eur_costs</t>
  </si>
  <si>
    <t xml:space="preserve">fx_pre</t>
  </si>
  <si>
    <t xml:space="preserve">fx_post</t>
  </si>
  <si>
    <t xml:space="preserve">Worked Example — solved on adjacent data. Study the method, then do Your Analysis.</t>
  </si>
  <si>
    <t xml:space="preserve">Entity A: EUR revenue 1,000, EUR costs 800. Net exposure is 200, not 800. Hedging the gross costs would create a loss four times larger than the real exposure.</t>
  </si>
  <si>
    <t xml:space="preserve">FX change</t>
  </si>
  <si>
    <t xml:space="preserve">Net EUR exposure (revenue − costs)</t>
  </si>
  <si>
    <t xml:space="preserve">True net impact</t>
  </si>
  <si>
    <t xml:space="preserve">Loss from wrongly hedging gross EUR costs</t>
  </si>
  <si>
    <t xml:space="preserve">Your Analysis — fill the YELLOW cells</t>
  </si>
  <si>
    <t xml:space="preserve">USD value change of a NOK or SGD flow = pre/post − 1 (quotes are per USD). EUR change = post/pre − 1 (quote is USD per EUR).</t>
  </si>
  <si>
    <t xml:space="preserve">EUR/USD change (fraction)</t>
  </si>
  <si>
    <t xml:space="preserve">USD value change of a NOK flow (fraction)</t>
  </si>
  <si>
    <t xml:space="preserve">USD value change of an SGD flow (fraction)</t>
  </si>
  <si>
    <t xml:space="preserve">Norwegian cost benefit from krone weakness ($M)</t>
  </si>
  <si>
    <t xml:space="preserve">Norwegian lifting cost after the shock ($/bbl)</t>
  </si>
  <si>
    <t xml:space="preserve">European retail translation effect ($M)</t>
  </si>
  <si>
    <t xml:space="preserve">Gain on the existing EUR forward sale ($M)</t>
  </si>
  <si>
    <t xml:space="preserve">Rotterdam net euro exposure ($M)</t>
  </si>
  <si>
    <t xml:space="preserve">Rotterdam natural hedge ratio (EUR costs / EUR revenue)</t>
  </si>
  <si>
    <t xml:space="preserve">Rotterdam true net impact ($M)</t>
  </si>
  <si>
    <t xml:space="preserve">Loss if you hedged Rotterdam gross euro costs by buying EUR forward ($M)</t>
  </si>
  <si>
    <t xml:space="preserve">Singapore impact ($M)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</si>
</sst>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.0"/>
    <numFmt numFmtId="167" formatCode="\$#,##0.00"/>
    <numFmt numFmtId="168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</row>
    <row r="2" customFormat="false" ht="15" hidden="false" customHeight="false" outlineLevel="0" collapsed="false">
      <c r="A2" s="4" t="s">
        <v>9</v>
      </c>
      <c r="B2" s="4" t="n">
        <v>1.085</v>
      </c>
      <c r="C2" s="4" t="n">
        <v>1.015</v>
      </c>
    </row>
    <row r="3" customFormat="false" ht="15" hidden="false" customHeight="false" outlineLevel="0" collapsed="false">
      <c r="A3" s="4" t="s">
        <v>10</v>
      </c>
      <c r="B3" s="4" t="n">
        <v>10.2</v>
      </c>
      <c r="C3" s="4" t="n">
        <v>11.05</v>
      </c>
    </row>
    <row r="4" customFormat="false" ht="15" hidden="false" customHeight="false" outlineLevel="0" collapsed="false">
      <c r="A4" s="4" t="s">
        <v>11</v>
      </c>
      <c r="B4" s="4" t="n">
        <v>1.34</v>
      </c>
      <c r="C4" s="4" t="n">
        <v>1.35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</row>
    <row r="2" customFormat="false" ht="15" hidden="false" customHeight="false" outlineLevel="0" collapsed="false">
      <c r="A2" s="4" t="s">
        <v>16</v>
      </c>
      <c r="B2" s="4" t="s">
        <v>17</v>
      </c>
      <c r="C2" s="4" t="s">
        <v>18</v>
      </c>
      <c r="D2" s="4" t="n">
        <v>3200</v>
      </c>
    </row>
    <row r="3" customFormat="false" ht="15" hidden="false" customHeight="false" outlineLevel="0" collapsed="false">
      <c r="A3" s="4" t="s">
        <v>19</v>
      </c>
      <c r="B3" s="4" t="s">
        <v>17</v>
      </c>
      <c r="C3" s="4" t="s">
        <v>20</v>
      </c>
      <c r="D3" s="4" t="n">
        <v>1100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n">
        <v>1200</v>
      </c>
    </row>
    <row r="5" customFormat="false" ht="15" hidden="false" customHeight="false" outlineLevel="0" collapsed="false">
      <c r="A5" s="4" t="s">
        <v>24</v>
      </c>
      <c r="B5" s="4" t="s">
        <v>25</v>
      </c>
      <c r="C5" s="4" t="s">
        <v>23</v>
      </c>
      <c r="D5" s="4" t="n">
        <v>2500</v>
      </c>
    </row>
    <row r="6" customFormat="false" ht="15" hidden="false" customHeight="false" outlineLevel="0" collapsed="false">
      <c r="A6" s="4" t="s">
        <v>26</v>
      </c>
      <c r="B6" s="4" t="s">
        <v>25</v>
      </c>
      <c r="C6" s="4" t="s">
        <v>23</v>
      </c>
      <c r="D6" s="4" t="n">
        <v>2250</v>
      </c>
    </row>
    <row r="7" customFormat="false" ht="15" hidden="false" customHeight="false" outlineLevel="0" collapsed="false">
      <c r="A7" s="4" t="s">
        <v>27</v>
      </c>
      <c r="B7" s="4" t="s">
        <v>25</v>
      </c>
      <c r="C7" s="4" t="s">
        <v>18</v>
      </c>
      <c r="D7" s="4" t="n">
        <v>180</v>
      </c>
    </row>
    <row r="8" customFormat="false" ht="15" hidden="false" customHeight="false" outlineLevel="0" collapsed="false">
      <c r="A8" s="4" t="s">
        <v>28</v>
      </c>
      <c r="B8" s="4" t="s">
        <v>29</v>
      </c>
      <c r="C8" s="4" t="s">
        <v>30</v>
      </c>
      <c r="D8" s="4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31</v>
      </c>
      <c r="B1" s="3" t="s">
        <v>32</v>
      </c>
    </row>
    <row r="2" customFormat="false" ht="15" hidden="false" customHeight="false" outlineLevel="0" collapsed="false">
      <c r="A2" s="4" t="s">
        <v>33</v>
      </c>
      <c r="B2" s="4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5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3" t="s">
        <v>34</v>
      </c>
      <c r="B1" s="3" t="s">
        <v>6</v>
      </c>
      <c r="C1" s="3" t="s">
        <v>35</v>
      </c>
      <c r="D1" s="3" t="s">
        <v>36</v>
      </c>
      <c r="E1" s="3" t="s">
        <v>37</v>
      </c>
    </row>
    <row r="2" customFormat="false" ht="15" hidden="false" customHeight="false" outlineLevel="0" collapsed="false">
      <c r="A2" s="4" t="s">
        <v>38</v>
      </c>
      <c r="B2" s="4" t="s">
        <v>9</v>
      </c>
      <c r="C2" s="4" t="s">
        <v>39</v>
      </c>
      <c r="D2" s="4" t="n">
        <v>300</v>
      </c>
      <c r="E2" s="4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3" t="s">
        <v>6</v>
      </c>
      <c r="B1" s="3" t="s">
        <v>40</v>
      </c>
      <c r="C1" s="3" t="s">
        <v>41</v>
      </c>
    </row>
    <row r="2" customFormat="false" ht="15" hidden="false" customHeight="false" outlineLevel="0" collapsed="false">
      <c r="A2" s="4" t="s">
        <v>9</v>
      </c>
      <c r="B2" s="4" t="n">
        <v>1.031</v>
      </c>
      <c r="C2" s="4" t="n">
        <v>0.012</v>
      </c>
    </row>
    <row r="3" customFormat="false" ht="15" hidden="false" customHeight="false" outlineLevel="0" collapsed="false">
      <c r="A3" s="4" t="s">
        <v>10</v>
      </c>
      <c r="B3" s="4" t="n">
        <v>11</v>
      </c>
      <c r="C3" s="4" t="n">
        <v>0.015</v>
      </c>
    </row>
    <row r="4" customFormat="false" ht="15" hidden="false" customHeight="false" outlineLevel="0" collapsed="false">
      <c r="A4" s="4" t="s">
        <v>11</v>
      </c>
      <c r="B4" s="4" t="n">
        <v>1.345</v>
      </c>
      <c r="C4" s="4" t="n">
        <v>0.008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31</v>
      </c>
      <c r="B1" s="3" t="s">
        <v>32</v>
      </c>
    </row>
    <row r="2" customFormat="false" ht="15" hidden="false" customHeight="false" outlineLevel="0" collapsed="false">
      <c r="A2" s="4" t="s">
        <v>42</v>
      </c>
      <c r="B2" s="4" t="n">
        <v>1000</v>
      </c>
    </row>
    <row r="3" customFormat="false" ht="15" hidden="false" customHeight="false" outlineLevel="0" collapsed="false">
      <c r="A3" s="4" t="s">
        <v>43</v>
      </c>
      <c r="B3" s="4" t="n">
        <v>800</v>
      </c>
    </row>
    <row r="4" customFormat="false" ht="15" hidden="false" customHeight="false" outlineLevel="0" collapsed="false">
      <c r="A4" s="4" t="s">
        <v>44</v>
      </c>
      <c r="B4" s="4" t="n">
        <v>1.1</v>
      </c>
    </row>
    <row r="5" customFormat="false" ht="15" hidden="false" customHeight="false" outlineLevel="0" collapsed="false">
      <c r="A5" s="4" t="s">
        <v>45</v>
      </c>
      <c r="B5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5" t="s">
        <v>47</v>
      </c>
    </row>
    <row r="4" customFormat="false" ht="15" hidden="false" customHeight="false" outlineLevel="0" collapsed="false">
      <c r="A4" s="2" t="s">
        <v>48</v>
      </c>
      <c r="B4" s="6" t="n">
        <f aca="false">(D_worked_example_entity!B5/D_worked_example_entity!B4-1)</f>
        <v>-0.0909090909090909</v>
      </c>
    </row>
    <row r="5" customFormat="false" ht="15" hidden="false" customHeight="false" outlineLevel="0" collapsed="false">
      <c r="A5" s="2" t="s">
        <v>49</v>
      </c>
      <c r="B5" s="7" t="n">
        <f aca="false">D_worked_example_entity!B2-D_worked_example_entity!B3</f>
        <v>200</v>
      </c>
    </row>
    <row r="6" customFormat="false" ht="15" hidden="false" customHeight="false" outlineLevel="0" collapsed="false">
      <c r="A6" s="2" t="s">
        <v>50</v>
      </c>
      <c r="B6" s="7" t="n">
        <f aca="false">(D_worked_example_entity!B2-D_worked_example_entity!B3)*(D_worked_example_entity!B5/D_worked_example_entity!B4-1)</f>
        <v>-18.1818181818182</v>
      </c>
    </row>
    <row r="7" customFormat="false" ht="15" hidden="false" customHeight="false" outlineLevel="0" collapsed="false">
      <c r="A7" s="2" t="s">
        <v>51</v>
      </c>
      <c r="B7" s="7" t="n">
        <f aca="false">D_worked_example_entity!B3*(D_worked_example_entity!B5/D_worked_example_entity!B4-1)</f>
        <v>-72.7272727272728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5" t="s">
        <v>53</v>
      </c>
    </row>
    <row r="4" customFormat="false" ht="15" hidden="false" customHeight="false" outlineLevel="0" collapsed="false">
      <c r="A4" s="2" t="s">
        <v>54</v>
      </c>
      <c r="B4" s="8"/>
    </row>
    <row r="5" customFormat="false" ht="15" hidden="false" customHeight="false" outlineLevel="0" collapsed="false">
      <c r="A5" s="2" t="s">
        <v>55</v>
      </c>
      <c r="B5" s="8"/>
    </row>
    <row r="6" customFormat="false" ht="15" hidden="false" customHeight="false" outlineLevel="0" collapsed="false">
      <c r="A6" s="2" t="s">
        <v>56</v>
      </c>
      <c r="B6" s="8"/>
    </row>
    <row r="7" customFormat="false" ht="15" hidden="false" customHeight="false" outlineLevel="0" collapsed="false">
      <c r="A7" s="2" t="s">
        <v>57</v>
      </c>
      <c r="B7" s="9"/>
    </row>
    <row r="8" customFormat="false" ht="15" hidden="false" customHeight="false" outlineLevel="0" collapsed="false">
      <c r="A8" s="2" t="s">
        <v>58</v>
      </c>
      <c r="B8" s="10"/>
    </row>
    <row r="9" customFormat="false" ht="15" hidden="false" customHeight="false" outlineLevel="0" collapsed="false">
      <c r="A9" s="2" t="s">
        <v>59</v>
      </c>
      <c r="B9" s="9"/>
    </row>
    <row r="10" customFormat="false" ht="15" hidden="false" customHeight="false" outlineLevel="0" collapsed="false">
      <c r="A10" s="2" t="s">
        <v>60</v>
      </c>
      <c r="B10" s="9"/>
    </row>
    <row r="11" customFormat="false" ht="15" hidden="false" customHeight="false" outlineLevel="0" collapsed="false">
      <c r="A11" s="2" t="s">
        <v>61</v>
      </c>
      <c r="B11" s="9"/>
    </row>
    <row r="12" customFormat="false" ht="15" hidden="false" customHeight="false" outlineLevel="0" collapsed="false">
      <c r="A12" s="2" t="s">
        <v>62</v>
      </c>
      <c r="B12" s="11"/>
    </row>
    <row r="13" customFormat="false" ht="15" hidden="false" customHeight="false" outlineLevel="0" collapsed="false">
      <c r="A13" s="2" t="s">
        <v>63</v>
      </c>
      <c r="B13" s="9"/>
    </row>
    <row r="14" customFormat="false" ht="15" hidden="false" customHeight="false" outlineLevel="0" collapsed="false">
      <c r="A14" s="2" t="s">
        <v>64</v>
      </c>
      <c r="B14" s="9"/>
    </row>
    <row r="15" customFormat="false" ht="15" hidden="false" customHeight="false" outlineLevel="0" collapsed="false">
      <c r="A15" s="2" t="s">
        <v>65</v>
      </c>
      <c r="B1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2026-09-25T09:27:40Z</dcterms:created>
  <dc:creator>openpyxl</dc:creator>
  <dc:description/>
  <dc:language>en-US</dc:language>
  <cp:lastModifiedBy/>
  <dcterms:modified xsi:type="dcterms:W3CDTF">2026-09-25T09:27:40Z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