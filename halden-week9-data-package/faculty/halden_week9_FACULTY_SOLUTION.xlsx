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markets" sheetId="2" state="visible" r:id="rId4"/>
    <sheet name="D_rebrand_params" sheetId="3" state="visible" r:id="rId5"/>
    <sheet name="D_nonfuel_states" sheetId="4" state="visible" r:id="rId6"/>
    <sheet name="D_worked_example_markets" sheetId="5" state="visible" r:id="rId7"/>
    <sheet name="Worked Example" sheetId="6" state="visible" r:id="rId8"/>
    <sheet name="Your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<sst xmlns="http://schemas.openxmlformats.org/spreadsheetml/2006/main" count="57" uniqueCount="54">
  <si>
    <t xml:space="preserve">Halden Energy — Week 9: The Cordell question — brand equity with a price tag — FACULTY SOLUTION</t>
  </si>
  <si>
    <t xml:space="preserve">Rebrand 4,300 Cordell stations to Halden for $340M, or keep the local brand.</t>
  </si>
  <si>
    <t xml:space="preserve">Brand equity is a market-level property: strong in the Louisiana/Mississippi core, thin at the southeast edge. The right answer is partial.</t>
  </si>
  <si>
    <t xml:space="preserve">Window 3 lands here: a class that fought a Week 7 price war starts with a compressed non-fuel margin, which stretches every payback.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</si>
  <si>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</si>
  <si>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</si>
  <si>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market</t>
  </si>
  <si>
    <t xml:space="preserve">equity</t>
  </si>
  <si>
    <t xml:space="preserve">sites</t>
  </si>
  <si>
    <t xml:space="preserve">keep_uplift_per_fill</t>
  </si>
  <si>
    <t xml:space="preserve">halden_benefit_per_fill</t>
  </si>
  <si>
    <t xml:space="preserve">LA_MS_core</t>
  </si>
  <si>
    <t xml:space="preserve">strong</t>
  </si>
  <si>
    <t xml:space="preserve">gulf_secondary</t>
  </si>
  <si>
    <t xml:space="preserve">medium</t>
  </si>
  <si>
    <t xml:space="preserve">southeast_edge</t>
  </si>
  <si>
    <t xml:space="preserve">weak</t>
  </si>
  <si>
    <t xml:space="preserve">parameter</t>
  </si>
  <si>
    <t xml:space="preserve">value</t>
  </si>
  <si>
    <t xml:space="preserve">total_cost_musd</t>
  </si>
  <si>
    <t xml:space="preserve">total_sites</t>
  </si>
  <si>
    <t xml:space="preserve">fills_per_site_year</t>
  </si>
  <si>
    <t xml:space="preserve">state</t>
  </si>
  <si>
    <t xml:space="preserve">nonfuel_per_fill</t>
  </si>
  <si>
    <t xml:space="preserve">price_war</t>
  </si>
  <si>
    <t xml:space="preserve">base</t>
  </si>
  <si>
    <t xml:space="preserve">disciplined</t>
  </si>
  <si>
    <t xml:space="preserve">a_net_per_fill</t>
  </si>
  <si>
    <t xml:space="preserve">b_net_per_fill</t>
  </si>
  <si>
    <t xml:space="preserve">sites_each</t>
  </si>
  <si>
    <t xml:space="preserve">cost_per_site</t>
  </si>
  <si>
    <t xml:space="preserve">Worked Example — solved on adjacent data. Study the method, then do Your Analysis.</t>
  </si>
  <si>
    <t xml:space="preserve">Two markets: A has strong local equity (rebranding loses 3c per fill), B has weak equity (gains 6c). Rebrand B, keep A.</t>
  </si>
  <si>
    <t xml:space="preserve">Market B annual gain ($M)</t>
  </si>
  <si>
    <t xml:space="preserve">Market B rebrand cost ($M)</t>
  </si>
  <si>
    <t xml:space="preserve">Market B payback (years)</t>
  </si>
  <si>
    <t xml:space="preserve">Market A annual gain ($M) — negative, keep the local brand</t>
  </si>
  <si>
    <t xml:space="preserve">Your Analysis — fill the YELLOW cells (faculty solution shown)</t>
  </si>
  <si>
    <t xml:space="preserve">Net per fill = Halden network benefit − Cordell equity lost. Gain ($M/yr) = net × fills per site × sites ÷ 1,000,000.</t>
  </si>
  <si>
    <t xml:space="preserve">Rebrand cost per site ($)</t>
  </si>
  <si>
    <t xml:space="preserve">Net effect of rebranding ($/fill) — LA_MS_core</t>
  </si>
  <si>
    <t xml:space="preserve">Net effect of rebranding ($/fill) — gulf_secondary</t>
  </si>
  <si>
    <t xml:space="preserve">Net effect of rebranding ($/fill) — southeast_edge</t>
  </si>
  <si>
    <t xml:space="preserve">Annual gain ($M) — gulf_secondary</t>
  </si>
  <si>
    <t xml:space="preserve">Rebrand cost ($M) — gulf_secondary</t>
  </si>
  <si>
    <t xml:space="preserve">Payback (years) — gulf_secondary</t>
  </si>
  <si>
    <t xml:space="preserve">Annual gain ($M) — southeast_edge</t>
  </si>
  <si>
    <t xml:space="preserve">Rebrand cost ($M) — southeast_edge</t>
  </si>
  <si>
    <t xml:space="preserve">Payback (years) — southeast_edge</t>
  </si>
  <si>
    <t xml:space="preserve">Partial rebrand annual gain ($M)</t>
  </si>
  <si>
    <t xml:space="preserve">Partial rebrand cost ($M)</t>
  </si>
  <si>
    <t xml:space="preserve">Partial rebrand payback (years)</t>
  </si>
  <si>
    <t xml:space="preserve">FULL rebrand net annual gain ($M), core included</t>
  </si>
  <si>
    <t xml:space="preserve">Partial payback (years) for a price-war cohort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</si>
</sst>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00"/>
    <numFmt numFmtId="167" formatCode="#,##0"/>
    <numFmt numFmtId="168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2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customFormat="false" ht="15" hidden="false" customHeight="false" outlineLevel="0" collapsed="false">
      <c r="A2" s="4" t="s">
        <v>11</v>
      </c>
      <c r="B2" s="4" t="s">
        <v>12</v>
      </c>
      <c r="C2" s="4" t="n">
        <v>1850</v>
      </c>
      <c r="D2" s="4" t="n">
        <v>0.055</v>
      </c>
      <c r="E2" s="4" t="n">
        <v>0.01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n">
        <v>1400</v>
      </c>
      <c r="D3" s="4" t="n">
        <v>0.015</v>
      </c>
      <c r="E3" s="4" t="n">
        <v>0.045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n">
        <v>1050</v>
      </c>
      <c r="D4" s="4" t="n">
        <v>-0.005</v>
      </c>
      <c r="E4" s="4" t="n">
        <v>0.075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19</v>
      </c>
      <c r="B2" s="4" t="n">
        <v>340</v>
      </c>
    </row>
    <row r="3" customFormat="false" ht="15" hidden="false" customHeight="false" outlineLevel="0" collapsed="false">
      <c r="A3" s="4" t="s">
        <v>20</v>
      </c>
      <c r="B3" s="4" t="n">
        <v>4300</v>
      </c>
    </row>
    <row r="4" customFormat="false" ht="15" hidden="false" customHeight="false" outlineLevel="0" collapsed="false">
      <c r="A4" s="4" t="s">
        <v>21</v>
      </c>
      <c r="B4" s="4" t="n">
        <v>180000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3" t="s">
        <v>22</v>
      </c>
      <c r="B1" s="3" t="s">
        <v>23</v>
      </c>
    </row>
    <row r="2" customFormat="false" ht="15" hidden="false" customHeight="false" outlineLevel="0" collapsed="false">
      <c r="A2" s="4" t="s">
        <v>24</v>
      </c>
      <c r="B2" s="4" t="n">
        <v>0.38</v>
      </c>
    </row>
    <row r="3" customFormat="false" ht="15" hidden="false" customHeight="false" outlineLevel="0" collapsed="false">
      <c r="A3" s="4" t="s">
        <v>25</v>
      </c>
      <c r="B3" s="4" t="n">
        <v>0.42</v>
      </c>
    </row>
    <row r="4" customFormat="false" ht="15" hidden="false" customHeight="false" outlineLevel="0" collapsed="false">
      <c r="A4" s="4" t="s">
        <v>26</v>
      </c>
      <c r="B4" s="4" t="n">
        <v>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27</v>
      </c>
      <c r="B2" s="4" t="n">
        <v>-0.03</v>
      </c>
    </row>
    <row r="3" customFormat="false" ht="15" hidden="false" customHeight="false" outlineLevel="0" collapsed="false">
      <c r="A3" s="4" t="s">
        <v>28</v>
      </c>
      <c r="B3" s="4" t="n">
        <v>0.06</v>
      </c>
    </row>
    <row r="4" customFormat="false" ht="15" hidden="false" customHeight="false" outlineLevel="0" collapsed="false">
      <c r="A4" s="4" t="s">
        <v>29</v>
      </c>
      <c r="B4" s="4" t="n">
        <v>100</v>
      </c>
    </row>
    <row r="5" customFormat="false" ht="15" hidden="false" customHeight="false" outlineLevel="0" collapsed="false">
      <c r="A5" s="4" t="s">
        <v>30</v>
      </c>
      <c r="B5" s="4" t="n">
        <v>80000</v>
      </c>
    </row>
    <row r="6" customFormat="false" ht="15" hidden="false" customHeight="false" outlineLevel="0" collapsed="false">
      <c r="A6" s="4" t="s">
        <v>21</v>
      </c>
      <c r="B6" s="4" t="n">
        <v>150000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5" t="s">
        <v>32</v>
      </c>
    </row>
    <row r="4" customFormat="false" ht="15" hidden="false" customHeight="false" outlineLevel="0" collapsed="false">
      <c r="A4" s="2" t="s">
        <v>33</v>
      </c>
      <c r="B4" s="6" t="n">
        <f aca="false">(D_worked_example_markets!B3*D_worked_example_markets!B6*D_worked_example_markets!B4/1000000)</f>
        <v>0.9</v>
      </c>
    </row>
    <row r="5" customFormat="false" ht="15" hidden="false" customHeight="false" outlineLevel="0" collapsed="false">
      <c r="A5" s="2" t="s">
        <v>34</v>
      </c>
      <c r="B5" s="6" t="n">
        <f aca="false">(D_worked_example_markets!B4*D_worked_example_markets!B5/1000000)</f>
        <v>8</v>
      </c>
    </row>
    <row r="6" customFormat="false" ht="15" hidden="false" customHeight="false" outlineLevel="0" collapsed="false">
      <c r="A6" s="2" t="s">
        <v>35</v>
      </c>
      <c r="B6" s="7" t="n">
        <f aca="false">(D_worked_example_markets!B4*D_worked_example_markets!B5/1000000)/(D_worked_example_markets!B3*D_worked_example_markets!B6*D_worked_example_markets!B4/1000000)</f>
        <v>8.88888888888889</v>
      </c>
    </row>
    <row r="7" customFormat="false" ht="15" hidden="false" customHeight="false" outlineLevel="0" collapsed="false">
      <c r="A7" s="2" t="s">
        <v>36</v>
      </c>
      <c r="B7" s="6" t="n">
        <f aca="false">D_worked_example_markets!B2*D_worked_example_markets!B6*D_worked_example_markets!B4/1000000</f>
        <v>-0.45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5" t="s">
        <v>38</v>
      </c>
    </row>
    <row r="4" customFormat="false" ht="15" hidden="false" customHeight="false" outlineLevel="0" collapsed="false">
      <c r="A4" s="2" t="s">
        <v>39</v>
      </c>
      <c r="B4" s="8" t="n">
        <f aca="false">D_rebrand_params!B2*1000000/D_rebrand_params!B3</f>
        <v>79069.7674418605</v>
      </c>
    </row>
    <row r="5" customFormat="false" ht="15" hidden="false" customHeight="false" outlineLevel="0" collapsed="false">
      <c r="A5" s="2" t="s">
        <v>40</v>
      </c>
      <c r="B5" s="9" t="n">
        <f aca="false">D_markets!E2-D_markets!D2</f>
        <v>-0.045</v>
      </c>
    </row>
    <row r="6" customFormat="false" ht="15" hidden="false" customHeight="false" outlineLevel="0" collapsed="false">
      <c r="A6" s="2" t="s">
        <v>41</v>
      </c>
      <c r="B6" s="9" t="n">
        <f aca="false">D_markets!E3-D_markets!D3</f>
        <v>0.03</v>
      </c>
    </row>
    <row r="7" customFormat="false" ht="15" hidden="false" customHeight="false" outlineLevel="0" collapsed="false">
      <c r="A7" s="2" t="s">
        <v>42</v>
      </c>
      <c r="B7" s="9" t="n">
        <f aca="false">D_markets!E4-D_markets!D4</f>
        <v>0.08</v>
      </c>
    </row>
    <row r="8" customFormat="false" ht="15" hidden="false" customHeight="false" outlineLevel="0" collapsed="false">
      <c r="A8" s="2" t="s">
        <v>43</v>
      </c>
      <c r="B8" s="10" t="n">
        <f aca="false">B6*D_rebrand_params!B4*D_markets!C3/1000000</f>
        <v>7.56</v>
      </c>
    </row>
    <row r="9" customFormat="false" ht="15" hidden="false" customHeight="false" outlineLevel="0" collapsed="false">
      <c r="A9" s="2" t="s">
        <v>44</v>
      </c>
      <c r="B9" s="10" t="n">
        <f aca="false">D_markets!C3*B4/1000000</f>
        <v>110.697674418605</v>
      </c>
    </row>
    <row r="10" customFormat="false" ht="15" hidden="false" customHeight="false" outlineLevel="0" collapsed="false">
      <c r="A10" s="2" t="s">
        <v>45</v>
      </c>
      <c r="B10" s="11" t="n">
        <f aca="false">B9/B8</f>
        <v>14.6425495262705</v>
      </c>
    </row>
    <row r="11" customFormat="false" ht="15" hidden="false" customHeight="false" outlineLevel="0" collapsed="false">
      <c r="A11" s="2" t="s">
        <v>46</v>
      </c>
      <c r="B11" s="10" t="n">
        <f aca="false">B7*D_rebrand_params!B4*D_markets!C4/1000000</f>
        <v>15.12</v>
      </c>
    </row>
    <row r="12" customFormat="false" ht="15" hidden="false" customHeight="false" outlineLevel="0" collapsed="false">
      <c r="A12" s="2" t="s">
        <v>47</v>
      </c>
      <c r="B12" s="10" t="n">
        <f aca="false">D_markets!C4*B4/1000000</f>
        <v>83.0232558139535</v>
      </c>
    </row>
    <row r="13" customFormat="false" ht="15" hidden="false" customHeight="false" outlineLevel="0" collapsed="false">
      <c r="A13" s="2" t="s">
        <v>48</v>
      </c>
      <c r="B13" s="11" t="n">
        <f aca="false">B12/B11</f>
        <v>5.49095607235142</v>
      </c>
    </row>
    <row r="14" customFormat="false" ht="15" hidden="false" customHeight="false" outlineLevel="0" collapsed="false">
      <c r="A14" s="2" t="s">
        <v>49</v>
      </c>
      <c r="B14" s="10" t="n">
        <f aca="false">B8+B11</f>
        <v>22.68</v>
      </c>
    </row>
    <row r="15" customFormat="false" ht="15" hidden="false" customHeight="false" outlineLevel="0" collapsed="false">
      <c r="A15" s="2" t="s">
        <v>50</v>
      </c>
      <c r="B15" s="10" t="n">
        <f aca="false">B9+B12</f>
        <v>193.720930232558</v>
      </c>
    </row>
    <row r="16" customFormat="false" ht="15" hidden="false" customHeight="false" outlineLevel="0" collapsed="false">
      <c r="A16" s="2" t="s">
        <v>51</v>
      </c>
      <c r="B16" s="11" t="n">
        <f aca="false">B15/B14</f>
        <v>8.54148722365777</v>
      </c>
    </row>
    <row r="17" customFormat="false" ht="15" hidden="false" customHeight="false" outlineLevel="0" collapsed="false">
      <c r="A17" s="2" t="s">
        <v>52</v>
      </c>
      <c r="B17" s="10" t="n">
        <f aca="false">B14+B5*D_rebrand_params!B4*D_markets!C2/1000000</f>
        <v>7.695</v>
      </c>
    </row>
    <row r="18" customFormat="false" ht="15" hidden="false" customHeight="false" outlineLevel="0" collapsed="false">
      <c r="A18" s="2" t="s">
        <v>53</v>
      </c>
      <c r="B18" s="11" t="n">
        <f aca="false">B15/(B14*D_nonfuel_states!B2/D_nonfuel_states!B3)</f>
        <v>9.44059114193753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2026-09-25T09:27:56Z</dcterms:created>
  <dc:creator>openpyxl</dc:creator>
  <dc:description/>
  <dc:language>en-US</dc:language>
  <cp:lastModifiedBy/>
  <dcterms:modified xsi:type="dcterms:W3CDTF">2026-09-25T09:27:56Z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