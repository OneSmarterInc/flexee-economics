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envelope" sheetId="2" state="visible" r:id="rId4"/>
    <sheet name="D_buckets" sheetId="3" state="visible" r:id="rId5"/>
    <sheet name="D_projects" sheetId="4" state="visible" r:id="rId6"/>
    <sheet name="D_carbon_scenarios" sheetId="5" state="visible" r:id="rId7"/>
    <sheet name="D_demand_scenarios" sheetId="6" state="visible" r:id="rId8"/>
    <sheet name="D_worked_example_projects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<sst xmlns="http://schemas.openxmlformats.org/spreadsheetml/2006/main" count="71" uniqueCount="62">
  <si>
    <t xml:space="preserve">Halden Energy — Week 12: What the company should become — transition portfolio</t>
  </si>
  <si>
    <t xml:space="preserve">Allocate a $1,800M five-year envelope across four buckets. The $600M sustaining floor leaves $1,200M discretionary.</t>
  </si>
  <si>
    <t xml:space="preserve">Project values swing sign across carbon-price and demand scenarios. There is no dominant portfolio. The decision is a defended bet on a worldview.</t>
  </si>
  <si>
    <t xml:space="preserve">The interlock: Helix Rotterdam fills the whole discretionary envelope. Pairing it with offshore wind — the full transition bet — is affordable only if you sell European retail.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</si>
  <si>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</si>
  <si>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</si>
  <si>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</si>
  <si>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</si>
  <si>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total_envelope</t>
  </si>
  <si>
    <t xml:space="preserve">sustaining_floor</t>
  </si>
  <si>
    <t xml:space="preserve">bucket</t>
  </si>
  <si>
    <t xml:space="preserve">floor</t>
  </si>
  <si>
    <t xml:space="preserve">ceiling</t>
  </si>
  <si>
    <t xml:space="preserve">sustaining</t>
  </si>
  <si>
    <t xml:space="preserve">growth</t>
  </si>
  <si>
    <t xml:space="preserve">adjacent</t>
  </si>
  <si>
    <t xml:space="preserve">renewable</t>
  </si>
  <si>
    <t xml:space="preserve">project</t>
  </si>
  <si>
    <t xml:space="preserve">cost_musd</t>
  </si>
  <si>
    <t xml:space="preserve">npv_base</t>
  </si>
  <si>
    <t xml:space="preserve">carbon_sens</t>
  </si>
  <si>
    <t xml:space="preserve">demand_sens</t>
  </si>
  <si>
    <t xml:space="preserve">helix_rotterdam</t>
  </si>
  <si>
    <t xml:space="preserve">permian_expansion</t>
  </si>
  <si>
    <t xml:space="preserve">biofuel_conversion</t>
  </si>
  <si>
    <t xml:space="preserve">offshore_wind</t>
  </si>
  <si>
    <t xml:space="preserve">euro_retail_divest</t>
  </si>
  <si>
    <t xml:space="preserve">scenario</t>
  </si>
  <si>
    <t xml:space="preserve">carbon_price</t>
  </si>
  <si>
    <t xml:space="preserve">low</t>
  </si>
  <si>
    <t xml:space="preserve">mid</t>
  </si>
  <si>
    <t xml:space="preserve">high</t>
  </si>
  <si>
    <t xml:space="preserve">code</t>
  </si>
  <si>
    <t xml:space="preserve">slow_decline</t>
  </si>
  <si>
    <t xml:space="preserve">fast_decline</t>
  </si>
  <si>
    <t xml:space="preserve">collapse</t>
  </si>
  <si>
    <t xml:space="preserve">p1_base</t>
  </si>
  <si>
    <t xml:space="preserve">p1_carbon_sens</t>
  </si>
  <si>
    <t xml:space="preserve">p2_base</t>
  </si>
  <si>
    <t xml:space="preserve">p2_carbon_sens</t>
  </si>
  <si>
    <t xml:space="preserve">carbon_low</t>
  </si>
  <si>
    <t xml:space="preserve">carbon_high</t>
  </si>
  <si>
    <t xml:space="preserve">Worked Example — solved on adjacent data. Study the method, then do Your Analysis.</t>
  </si>
  <si>
    <t xml:space="preserve">Two projects under low and high carbon prices. Each wins in one scenario and loses in the other. That sign swing is why Week 12 is a bet, not an optimization.</t>
  </si>
  <si>
    <t xml:space="preserve">Project 1 NPV, low carbon</t>
  </si>
  <si>
    <t xml:space="preserve">Project 1 NPV, high carbon</t>
  </si>
  <si>
    <t xml:space="preserve">Project 2 NPV, low carbon</t>
  </si>
  <si>
    <t xml:space="preserve">Project 2 NPV, high carbon</t>
  </si>
  <si>
    <t xml:space="preserve">Your Analysis — fill the YELLOW cells</t>
  </si>
  <si>
    <t xml:space="preserve">NPV in a scenario = base + carbon sensitivity × (carbon price − 40) + demand sensitivity × demand code (slow 0, fast 1, collapse 2).</t>
  </si>
  <si>
    <t xml:space="preserve">Discretionary envelope after the sustaining floor ($M)</t>
  </si>
  <si>
    <t xml:space="preserve">NPV, low carbon + slow decline ($M) — helix_rotterdam</t>
  </si>
  <si>
    <t xml:space="preserve">NPV, high carbon + collapse ($M) — helix_rotterdam</t>
  </si>
  <si>
    <t xml:space="preserve">NPV, low carbon + slow decline ($M) — permian_expansion</t>
  </si>
  <si>
    <t xml:space="preserve">NPV, high carbon + collapse ($M) — permian_expansion</t>
  </si>
  <si>
    <t xml:space="preserve">NPV, low carbon + slow decline ($M) — biofuel_conversion</t>
  </si>
  <si>
    <t xml:space="preserve">NPV, high carbon + collapse ($M) — biofuel_conversion</t>
  </si>
  <si>
    <t xml:space="preserve">NPV, low carbon + slow decline ($M) — offshore_wind</t>
  </si>
  <si>
    <t xml:space="preserve">NPV, high carbon + collapse ($M) — offshore_wind</t>
  </si>
  <si>
    <t xml:space="preserve">NPV, low carbon + slow decline ($M) — euro_retail_divest</t>
  </si>
  <si>
    <t xml:space="preserve">NPV, high carbon + collapse ($M) — euro_retail_divest</t>
  </si>
  <si>
    <t xml:space="preserve">Number of legal portfolios that include Helix Rotterdam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</si>
</sst>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1800</v>
      </c>
    </row>
    <row r="3" customFormat="false" ht="15" hidden="false" customHeight="false" outlineLevel="0" collapsed="false">
      <c r="A3" s="4" t="s">
        <v>9</v>
      </c>
      <c r="B3" s="4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</row>
    <row r="2" customFormat="false" ht="15" hidden="false" customHeight="false" outlineLevel="0" collapsed="false">
      <c r="A2" s="4" t="s">
        <v>13</v>
      </c>
      <c r="B2" s="4" t="n">
        <v>600</v>
      </c>
      <c r="C2" s="4" t="n">
        <v>1000</v>
      </c>
    </row>
    <row r="3" customFormat="false" ht="15" hidden="false" customHeight="false" outlineLevel="0" collapsed="false">
      <c r="A3" s="4" t="s">
        <v>14</v>
      </c>
      <c r="B3" s="4" t="n">
        <v>0</v>
      </c>
      <c r="C3" s="4" t="n">
        <v>800</v>
      </c>
    </row>
    <row r="4" customFormat="false" ht="15" hidden="false" customHeight="false" outlineLevel="0" collapsed="false">
      <c r="A4" s="4" t="s">
        <v>15</v>
      </c>
      <c r="B4" s="4" t="n">
        <v>0</v>
      </c>
      <c r="C4" s="4" t="n">
        <v>1200</v>
      </c>
    </row>
    <row r="5" customFormat="false" ht="15" hidden="false" customHeight="false" outlineLevel="0" collapsed="false">
      <c r="A5" s="4" t="s">
        <v>16</v>
      </c>
      <c r="B5" s="4" t="n">
        <v>0</v>
      </c>
      <c r="C5" s="4" t="n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" t="s">
        <v>17</v>
      </c>
      <c r="B1" s="3" t="s">
        <v>10</v>
      </c>
      <c r="C1" s="3" t="s">
        <v>18</v>
      </c>
      <c r="D1" s="3" t="s">
        <v>19</v>
      </c>
      <c r="E1" s="3" t="s">
        <v>20</v>
      </c>
      <c r="F1" s="3" t="s">
        <v>21</v>
      </c>
    </row>
    <row r="2" customFormat="false" ht="15" hidden="false" customHeight="false" outlineLevel="0" collapsed="false">
      <c r="A2" s="4" t="s">
        <v>22</v>
      </c>
      <c r="B2" s="4" t="s">
        <v>15</v>
      </c>
      <c r="C2" s="4" t="n">
        <v>1200</v>
      </c>
      <c r="D2" s="4" t="n">
        <v>-180</v>
      </c>
      <c r="E2" s="4" t="n">
        <v>2.2</v>
      </c>
      <c r="F2" s="4" t="n">
        <v>90</v>
      </c>
    </row>
    <row r="3" customFormat="false" ht="15" hidden="false" customHeight="false" outlineLevel="0" collapsed="false">
      <c r="A3" s="4" t="s">
        <v>23</v>
      </c>
      <c r="B3" s="4" t="s">
        <v>14</v>
      </c>
      <c r="C3" s="4" t="n">
        <v>650</v>
      </c>
      <c r="D3" s="4" t="n">
        <v>220</v>
      </c>
      <c r="E3" s="4" t="n">
        <v>-1.9</v>
      </c>
      <c r="F3" s="4" t="n">
        <v>-40</v>
      </c>
    </row>
    <row r="4" customFormat="false" ht="15" hidden="false" customHeight="false" outlineLevel="0" collapsed="false">
      <c r="A4" s="4" t="s">
        <v>24</v>
      </c>
      <c r="B4" s="4" t="s">
        <v>15</v>
      </c>
      <c r="C4" s="4" t="n">
        <v>480</v>
      </c>
      <c r="D4" s="4" t="n">
        <v>-40</v>
      </c>
      <c r="E4" s="4" t="n">
        <v>0.9</v>
      </c>
      <c r="F4" s="4" t="n">
        <v>25</v>
      </c>
    </row>
    <row r="5" customFormat="false" ht="15" hidden="false" customHeight="false" outlineLevel="0" collapsed="false">
      <c r="A5" s="4" t="s">
        <v>25</v>
      </c>
      <c r="B5" s="4" t="s">
        <v>16</v>
      </c>
      <c r="C5" s="4" t="n">
        <v>550</v>
      </c>
      <c r="D5" s="4" t="n">
        <v>-90</v>
      </c>
      <c r="E5" s="4" t="n">
        <v>1.5</v>
      </c>
      <c r="F5" s="4" t="n">
        <v>0</v>
      </c>
    </row>
    <row r="6" customFormat="false" ht="15" hidden="false" customHeight="false" outlineLevel="0" collapsed="false">
      <c r="A6" s="4" t="s">
        <v>26</v>
      </c>
      <c r="B6" s="4" t="s">
        <v>16</v>
      </c>
      <c r="C6" s="4" t="n">
        <v>-550</v>
      </c>
      <c r="D6" s="4" t="n">
        <v>-60</v>
      </c>
      <c r="E6" s="4" t="n">
        <v>0.3</v>
      </c>
      <c r="F6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27</v>
      </c>
      <c r="B1" s="3" t="s">
        <v>28</v>
      </c>
    </row>
    <row r="2" customFormat="false" ht="15" hidden="false" customHeight="false" outlineLevel="0" collapsed="false">
      <c r="A2" s="4" t="s">
        <v>29</v>
      </c>
      <c r="B2" s="4" t="n">
        <v>40</v>
      </c>
    </row>
    <row r="3" customFormat="false" ht="15" hidden="false" customHeight="false" outlineLevel="0" collapsed="false">
      <c r="A3" s="4" t="s">
        <v>30</v>
      </c>
      <c r="B3" s="4" t="n">
        <v>95</v>
      </c>
    </row>
    <row r="4" customFormat="false" ht="15" hidden="false" customHeight="false" outlineLevel="0" collapsed="false">
      <c r="A4" s="4" t="s">
        <v>31</v>
      </c>
      <c r="B4" s="4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27</v>
      </c>
      <c r="B1" s="3" t="s">
        <v>32</v>
      </c>
    </row>
    <row r="2" customFormat="false" ht="15" hidden="false" customHeight="false" outlineLevel="0" collapsed="false">
      <c r="A2" s="4" t="s">
        <v>33</v>
      </c>
      <c r="B2" s="4" t="n">
        <v>0</v>
      </c>
    </row>
    <row r="3" customFormat="false" ht="15" hidden="false" customHeight="false" outlineLevel="0" collapsed="false">
      <c r="A3" s="4" t="s">
        <v>34</v>
      </c>
      <c r="B3" s="4" t="n">
        <v>1</v>
      </c>
    </row>
    <row r="4" customFormat="false" ht="15" hidden="false" customHeight="false" outlineLevel="0" collapsed="false">
      <c r="A4" s="4" t="s">
        <v>35</v>
      </c>
      <c r="B4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36</v>
      </c>
      <c r="B2" s="4" t="n">
        <v>-50</v>
      </c>
    </row>
    <row r="3" customFormat="false" ht="15" hidden="false" customHeight="false" outlineLevel="0" collapsed="false">
      <c r="A3" s="4" t="s">
        <v>37</v>
      </c>
      <c r="B3" s="4" t="n">
        <v>1</v>
      </c>
    </row>
    <row r="4" customFormat="false" ht="15" hidden="false" customHeight="false" outlineLevel="0" collapsed="false">
      <c r="A4" s="4" t="s">
        <v>38</v>
      </c>
      <c r="B4" s="4" t="n">
        <v>150</v>
      </c>
    </row>
    <row r="5" customFormat="false" ht="15" hidden="false" customHeight="false" outlineLevel="0" collapsed="false">
      <c r="A5" s="4" t="s">
        <v>39</v>
      </c>
      <c r="B5" s="4" t="n">
        <v>-1.2</v>
      </c>
    </row>
    <row r="6" customFormat="false" ht="15" hidden="false" customHeight="false" outlineLevel="0" collapsed="false">
      <c r="A6" s="4" t="s">
        <v>40</v>
      </c>
      <c r="B6" s="4" t="n">
        <v>40</v>
      </c>
    </row>
    <row r="7" customFormat="false" ht="15" hidden="false" customHeight="false" outlineLevel="0" collapsed="false">
      <c r="A7" s="4" t="s">
        <v>41</v>
      </c>
      <c r="B7" s="4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5" t="s">
        <v>43</v>
      </c>
    </row>
    <row r="4" customFormat="false" ht="15" hidden="false" customHeight="false" outlineLevel="0" collapsed="false">
      <c r="A4" s="2" t="s">
        <v>44</v>
      </c>
      <c r="B4" s="6" t="n">
        <f aca="false">D_worked_example_projects!B2</f>
        <v>-50</v>
      </c>
    </row>
    <row r="5" customFormat="false" ht="15" hidden="false" customHeight="false" outlineLevel="0" collapsed="false">
      <c r="A5" s="2" t="s">
        <v>45</v>
      </c>
      <c r="B5" s="6" t="n">
        <f aca="false">D_worked_example_projects!B2+D_worked_example_projects!B3*(D_worked_example_projects!B7-D_worked_example_projects!B6)</f>
        <v>90</v>
      </c>
    </row>
    <row r="6" customFormat="false" ht="15" hidden="false" customHeight="false" outlineLevel="0" collapsed="false">
      <c r="A6" s="2" t="s">
        <v>46</v>
      </c>
      <c r="B6" s="6" t="n">
        <f aca="false">D_worked_example_projects!B4</f>
        <v>150</v>
      </c>
    </row>
    <row r="7" customFormat="false" ht="15" hidden="false" customHeight="false" outlineLevel="0" collapsed="false">
      <c r="A7" s="2" t="s">
        <v>47</v>
      </c>
      <c r="B7" s="6" t="n">
        <f aca="false">D_worked_example_projects!B4+D_worked_example_projects!B5*(D_worked_example_projects!B7-D_worked_example_projects!B6)</f>
        <v>-18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5" t="s">
        <v>49</v>
      </c>
    </row>
    <row r="4" customFormat="false" ht="15" hidden="false" customHeight="false" outlineLevel="0" collapsed="false">
      <c r="A4" s="2" t="s">
        <v>50</v>
      </c>
      <c r="B4" s="7"/>
    </row>
    <row r="5" customFormat="false" ht="15" hidden="false" customHeight="false" outlineLevel="0" collapsed="false">
      <c r="A5" s="2" t="s">
        <v>51</v>
      </c>
      <c r="B5" s="7"/>
    </row>
    <row r="6" customFormat="false" ht="15" hidden="false" customHeight="false" outlineLevel="0" collapsed="false">
      <c r="A6" s="2" t="s">
        <v>52</v>
      </c>
      <c r="B6" s="7"/>
    </row>
    <row r="7" customFormat="false" ht="15" hidden="false" customHeight="false" outlineLevel="0" collapsed="false">
      <c r="A7" s="2" t="s">
        <v>53</v>
      </c>
      <c r="B7" s="7"/>
    </row>
    <row r="8" customFormat="false" ht="15" hidden="false" customHeight="false" outlineLevel="0" collapsed="false">
      <c r="A8" s="2" t="s">
        <v>54</v>
      </c>
      <c r="B8" s="7"/>
    </row>
    <row r="9" customFormat="false" ht="15" hidden="false" customHeight="false" outlineLevel="0" collapsed="false">
      <c r="A9" s="2" t="s">
        <v>55</v>
      </c>
      <c r="B9" s="7"/>
    </row>
    <row r="10" customFormat="false" ht="15" hidden="false" customHeight="false" outlineLevel="0" collapsed="false">
      <c r="A10" s="2" t="s">
        <v>56</v>
      </c>
      <c r="B10" s="7"/>
    </row>
    <row r="11" customFormat="false" ht="15" hidden="false" customHeight="false" outlineLevel="0" collapsed="false">
      <c r="A11" s="2" t="s">
        <v>57</v>
      </c>
      <c r="B11" s="7"/>
    </row>
    <row r="12" customFormat="false" ht="15" hidden="false" customHeight="false" outlineLevel="0" collapsed="false">
      <c r="A12" s="2" t="s">
        <v>58</v>
      </c>
      <c r="B12" s="7"/>
    </row>
    <row r="13" customFormat="false" ht="15" hidden="false" customHeight="false" outlineLevel="0" collapsed="false">
      <c r="A13" s="2" t="s">
        <v>59</v>
      </c>
      <c r="B13" s="7"/>
    </row>
    <row r="14" customFormat="false" ht="15" hidden="false" customHeight="false" outlineLevel="0" collapsed="false">
      <c r="A14" s="2" t="s">
        <v>60</v>
      </c>
      <c r="B14" s="7"/>
    </row>
    <row r="15" customFormat="false" ht="15" hidden="false" customHeight="false" outlineLevel="0" collapsed="false">
      <c r="A15" s="2" t="s">
        <v>61</v>
      </c>
      <c r="B1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2026-09-25T10:52:56Z</dcterms:created>
  <dc:creator>openpyxl</dc:creator>
  <dc:description/>
  <dc:language>en-US</dc:language>
  <cp:lastModifiedBy/>
  <dcterms:modified xsi:type="dcterms:W3CDTF">2026-09-25T10:52:56Z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