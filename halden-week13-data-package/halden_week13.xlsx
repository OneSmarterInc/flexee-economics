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D_norway_union" sheetId="2" state="visible" r:id="rId4"/>
    <sheet name="D_permian_labor" sheetId="3" state="visible" r:id="rId5"/>
    <sheet name="D_turnaround" sheetId="4" state="visible" r:id="rId6"/>
    <sheet name="D_wage_benchmarks" sheetId="5" state="visible" r:id="rId7"/>
    <sheet name="D_worked_example_labor" sheetId="6" state="visible" r:id="rId8"/>
    <sheet name="Worked Example" sheetId="7" state="visible" r:id="rId9"/>
    <sheet name="Your Analysi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<sst xmlns="http://schemas.openxmlformats.org/spreadsheetml/2006/main" count="54" uniqueCount="47">
  <si>
    <t xml:space="preserve">Halden Energy — Week 13: Factor markets — three labor structures</t>
  </si>
  <si>
    <t xml:space="preserve">Three labor markets open at once: a Norwegian offshore union (bilateral monopoly), a tight Permian market (Halden is a wage-taker), and a Gulf Coast contractor spot market.</t>
  </si>
  <si>
    <t xml:space="preserve">The Week 1 tax shield returns: a Norwegian wage concession costs Halden only 22% of its face value after the 78% tax.</t>
  </si>
  <si>
    <t xml:space="preserve">The turnaround timing choice trades a contractor-rate peak against reliability risk and the asset-health KPI.</t>
  </si>
  <si>
    <t xml:space="preserve">Tabs: D_* = canonical data (read-only). Worked Example = solved on adjacent data. Your Analysis = fill the yellow cells.</t>
  </si>
  <si>
    <t xml:space="preserve">Legend: blue = input, black = formula, yellow = you fill in.</t>
  </si>
  <si>
    <t xml:space="preserve">parameter</t>
  </si>
  <si>
    <t xml:space="preserve">value</t>
  </si>
  <si>
    <t xml:space="preserve">wage_bill_musd</t>
  </si>
  <si>
    <t xml:space="preserve">union_demand_pct</t>
  </si>
  <si>
    <t xml:space="preserve">tax_rate</t>
  </si>
  <si>
    <t xml:space="preserve">bbl_per_marginal_worker</t>
  </si>
  <si>
    <t xml:space="preserve">margin_per_bbl</t>
  </si>
  <si>
    <t xml:space="preserve">market_wage_k</t>
  </si>
  <si>
    <t xml:space="preserve">labor_cost_base_musd</t>
  </si>
  <si>
    <t xml:space="preserve">peak_multiplier</t>
  </si>
  <si>
    <t xml:space="preserve">outage_probability_if_delayed</t>
  </si>
  <si>
    <t xml:space="preserve">outage_cost_musd</t>
  </si>
  <si>
    <t xml:space="preserve">asset_health_penalty_pts</t>
  </si>
  <si>
    <t xml:space="preserve">market</t>
  </si>
  <si>
    <t xml:space="preserve">structure</t>
  </si>
  <si>
    <t xml:space="preserve">benchmark_wage_k</t>
  </si>
  <si>
    <t xml:space="preserve">Norwegian offshore</t>
  </si>
  <si>
    <t xml:space="preserve">bilateral monopoly</t>
  </si>
  <si>
    <t xml:space="preserve">Permian field</t>
  </si>
  <si>
    <t xml:space="preserve">competitive, tight</t>
  </si>
  <si>
    <t xml:space="preserve">Gulf Coast contractor</t>
  </si>
  <si>
    <t xml:space="preserve">competitive spot</t>
  </si>
  <si>
    <t xml:space="preserve">units_per_worker</t>
  </si>
  <si>
    <t xml:space="preserve">price_per_unit</t>
  </si>
  <si>
    <t xml:space="preserve">wage</t>
  </si>
  <si>
    <t xml:space="preserve">wage_increase</t>
  </si>
  <si>
    <t xml:space="preserve">Worked Example — solved on adjacent data. Study the method, then do Your Analysis.</t>
  </si>
  <si>
    <t xml:space="preserve">A worker who produces $50,000 of revenue at a $40,000 wage is worth hiring. A $100 raise at a 50% tax rate costs the firm $50.</t>
  </si>
  <si>
    <t xml:space="preserve">Marginal revenue product ($)</t>
  </si>
  <si>
    <t xml:space="preserve">MRP minus wage ($)</t>
  </si>
  <si>
    <t xml:space="preserve">After-tax cost of a $100 raise ($)</t>
  </si>
  <si>
    <t xml:space="preserve">Your Analysis — fill the YELLOW cells</t>
  </si>
  <si>
    <t xml:space="preserve">MRP ($k) = barrels per marginal worker × margin per barrel ÷ 1,000. After-tax cost = gross cost × (1 − tax rate).</t>
  </si>
  <si>
    <t xml:space="preserve">Gross cost of the union demand ($M)</t>
  </si>
  <si>
    <t xml:space="preserve">After-tax cost to Halden ($M)</t>
  </si>
  <si>
    <t xml:space="preserve">After-tax share of the gross cost</t>
  </si>
  <si>
    <t xml:space="preserve">Permian marginal revenue product ($k per worker)</t>
  </si>
  <si>
    <t xml:space="preserve">MRP to market wage ratio</t>
  </si>
  <si>
    <t xml:space="preserve">Turnaround labor cost at the peak ($M)</t>
  </si>
  <si>
    <t xml:space="preserve">Expected cost of delaying to off-peak, incl. outage risk ($M)</t>
  </si>
  <si>
    <t xml:space="preserve">Expected saving from delaying ($M)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</si>
</sst>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\$#,##0.00"/>
    <numFmt numFmtId="167" formatCode="#,##0.0"/>
    <numFmt numFmtId="168" formatCode="0.00%"/>
    <numFmt numFmtId="169" formatCode="0.0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sz val="10"/>
      <color rgb="FF0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6.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 t="s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</cols>
  <sheetData>
    <row r="1" customFormat="false" ht="15" hidden="false" customHeight="false" outlineLevel="0" collapsed="false">
      <c r="A1" s="3" t="s">
        <v>6</v>
      </c>
      <c r="B1" s="3" t="s">
        <v>7</v>
      </c>
    </row>
    <row r="2" customFormat="false" ht="15" hidden="false" customHeight="false" outlineLevel="0" collapsed="false">
      <c r="A2" s="4" t="s">
        <v>8</v>
      </c>
      <c r="B2" s="4" t="n">
        <v>420</v>
      </c>
    </row>
    <row r="3" customFormat="false" ht="15" hidden="false" customHeight="false" outlineLevel="0" collapsed="false">
      <c r="A3" s="4" t="s">
        <v>9</v>
      </c>
      <c r="B3" s="4" t="n">
        <v>0.08</v>
      </c>
    </row>
    <row r="4" customFormat="false" ht="15" hidden="false" customHeight="false" outlineLevel="0" collapsed="false">
      <c r="A4" s="4" t="s">
        <v>10</v>
      </c>
      <c r="B4" s="4" t="n">
        <v>0.78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</cols>
  <sheetData>
    <row r="1" customFormat="false" ht="15" hidden="false" customHeight="false" outlineLevel="0" collapsed="false">
      <c r="A1" s="3" t="s">
        <v>6</v>
      </c>
      <c r="B1" s="3" t="s">
        <v>7</v>
      </c>
    </row>
    <row r="2" customFormat="false" ht="15" hidden="false" customHeight="false" outlineLevel="0" collapsed="false">
      <c r="A2" s="4" t="s">
        <v>11</v>
      </c>
      <c r="B2" s="4" t="n">
        <v>9000</v>
      </c>
    </row>
    <row r="3" customFormat="false" ht="15" hidden="false" customHeight="false" outlineLevel="0" collapsed="false">
      <c r="A3" s="4" t="s">
        <v>12</v>
      </c>
      <c r="B3" s="4" t="n">
        <v>56.4</v>
      </c>
    </row>
    <row r="4" customFormat="false" ht="15" hidden="false" customHeight="false" outlineLevel="0" collapsed="false">
      <c r="A4" s="4" t="s">
        <v>13</v>
      </c>
      <c r="B4" s="4" t="n">
        <v>145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</cols>
  <sheetData>
    <row r="1" customFormat="false" ht="15" hidden="false" customHeight="false" outlineLevel="0" collapsed="false">
      <c r="A1" s="3" t="s">
        <v>6</v>
      </c>
      <c r="B1" s="3" t="s">
        <v>7</v>
      </c>
    </row>
    <row r="2" customFormat="false" ht="15" hidden="false" customHeight="false" outlineLevel="0" collapsed="false">
      <c r="A2" s="4" t="s">
        <v>14</v>
      </c>
      <c r="B2" s="4" t="n">
        <v>60</v>
      </c>
    </row>
    <row r="3" customFormat="false" ht="15" hidden="false" customHeight="false" outlineLevel="0" collapsed="false">
      <c r="A3" s="4" t="s">
        <v>15</v>
      </c>
      <c r="B3" s="4" t="n">
        <v>1.35</v>
      </c>
    </row>
    <row r="4" customFormat="false" ht="15" hidden="false" customHeight="false" outlineLevel="0" collapsed="false">
      <c r="A4" s="4" t="s">
        <v>16</v>
      </c>
      <c r="B4" s="4" t="n">
        <v>0.12</v>
      </c>
    </row>
    <row r="5" customFormat="false" ht="15" hidden="false" customHeight="false" outlineLevel="0" collapsed="false">
      <c r="A5" s="4" t="s">
        <v>17</v>
      </c>
      <c r="B5" s="4" t="n">
        <v>150</v>
      </c>
    </row>
    <row r="6" customFormat="false" ht="15" hidden="false" customHeight="false" outlineLevel="0" collapsed="false">
      <c r="A6" s="4" t="s">
        <v>18</v>
      </c>
      <c r="B6" s="4" t="n"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18"/>
  </cols>
  <sheetData>
    <row r="1" customFormat="false" ht="15" hidden="false" customHeight="false" outlineLevel="0" collapsed="false">
      <c r="A1" s="3" t="s">
        <v>19</v>
      </c>
      <c r="B1" s="3" t="s">
        <v>20</v>
      </c>
      <c r="C1" s="3" t="s">
        <v>21</v>
      </c>
    </row>
    <row r="2" customFormat="false" ht="15" hidden="false" customHeight="false" outlineLevel="0" collapsed="false">
      <c r="A2" s="4" t="s">
        <v>22</v>
      </c>
      <c r="B2" s="4" t="s">
        <v>23</v>
      </c>
      <c r="C2" s="4" t="n">
        <v>128</v>
      </c>
    </row>
    <row r="3" customFormat="false" ht="15" hidden="false" customHeight="false" outlineLevel="0" collapsed="false">
      <c r="A3" s="4" t="s">
        <v>24</v>
      </c>
      <c r="B3" s="4" t="s">
        <v>25</v>
      </c>
      <c r="C3" s="4" t="n">
        <v>145</v>
      </c>
    </row>
    <row r="4" customFormat="false" ht="15" hidden="false" customHeight="false" outlineLevel="0" collapsed="false">
      <c r="A4" s="4" t="s">
        <v>26</v>
      </c>
      <c r="B4" s="4" t="s">
        <v>27</v>
      </c>
      <c r="C4" s="4" t="n">
        <v>118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</cols>
  <sheetData>
    <row r="1" customFormat="false" ht="15" hidden="false" customHeight="false" outlineLevel="0" collapsed="false">
      <c r="A1" s="3" t="s">
        <v>6</v>
      </c>
      <c r="B1" s="3" t="s">
        <v>7</v>
      </c>
    </row>
    <row r="2" customFormat="false" ht="15" hidden="false" customHeight="false" outlineLevel="0" collapsed="false">
      <c r="A2" s="4" t="s">
        <v>28</v>
      </c>
      <c r="B2" s="4" t="n">
        <v>1000</v>
      </c>
    </row>
    <row r="3" customFormat="false" ht="15" hidden="false" customHeight="false" outlineLevel="0" collapsed="false">
      <c r="A3" s="4" t="s">
        <v>29</v>
      </c>
      <c r="B3" s="4" t="n">
        <v>50</v>
      </c>
    </row>
    <row r="4" customFormat="false" ht="15" hidden="false" customHeight="false" outlineLevel="0" collapsed="false">
      <c r="A4" s="4" t="s">
        <v>30</v>
      </c>
      <c r="B4" s="4" t="n">
        <v>40000</v>
      </c>
    </row>
    <row r="5" customFormat="false" ht="15" hidden="false" customHeight="false" outlineLevel="0" collapsed="false">
      <c r="A5" s="4" t="s">
        <v>31</v>
      </c>
      <c r="B5" s="4" t="n">
        <v>100</v>
      </c>
    </row>
    <row r="6" customFormat="false" ht="15" hidden="false" customHeight="false" outlineLevel="0" collapsed="false">
      <c r="A6" s="4" t="s">
        <v>10</v>
      </c>
      <c r="B6" s="4" t="n">
        <v>0.5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2"/>
    <col collapsed="false" customWidth="true" hidden="false" outlineLevel="0" max="2" min="2" style="0" width="20"/>
  </cols>
  <sheetData>
    <row r="1" customFormat="false" ht="16.15" hidden="false" customHeight="false" outlineLevel="0" collapsed="false">
      <c r="A1" s="1" t="s">
        <v>32</v>
      </c>
    </row>
    <row r="2" customFormat="false" ht="15" hidden="false" customHeight="false" outlineLevel="0" collapsed="false">
      <c r="A2" s="5" t="s">
        <v>33</v>
      </c>
    </row>
    <row r="4" customFormat="false" ht="15" hidden="false" customHeight="false" outlineLevel="0" collapsed="false">
      <c r="A4" s="2" t="s">
        <v>34</v>
      </c>
      <c r="B4" s="6" t="n">
        <f aca="false">D_worked_example_labor!B2*D_worked_example_labor!B3</f>
        <v>50000</v>
      </c>
    </row>
    <row r="5" customFormat="false" ht="15" hidden="false" customHeight="false" outlineLevel="0" collapsed="false">
      <c r="A5" s="2" t="s">
        <v>35</v>
      </c>
      <c r="B5" s="6" t="n">
        <f aca="false">D_worked_example_labor!B2*D_worked_example_labor!B3-D_worked_example_labor!B4</f>
        <v>10000</v>
      </c>
    </row>
    <row r="6" customFormat="false" ht="15" hidden="false" customHeight="false" outlineLevel="0" collapsed="false">
      <c r="A6" s="2" t="s">
        <v>36</v>
      </c>
      <c r="B6" s="7" t="n">
        <f aca="false">D_worked_example_labor!B5*(1-D_worked_example_labor!B6)</f>
        <v>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4"/>
    <col collapsed="false" customWidth="true" hidden="false" outlineLevel="0" max="2" min="2" style="0" width="22"/>
  </cols>
  <sheetData>
    <row r="1" customFormat="false" ht="16.15" hidden="false" customHeight="false" outlineLevel="0" collapsed="false">
      <c r="A1" s="1" t="s">
        <v>37</v>
      </c>
    </row>
    <row r="2" customFormat="false" ht="15" hidden="false" customHeight="false" outlineLevel="0" collapsed="false">
      <c r="A2" s="5" t="s">
        <v>38</v>
      </c>
    </row>
    <row r="4" customFormat="false" ht="15" hidden="false" customHeight="false" outlineLevel="0" collapsed="false">
      <c r="A4" s="2" t="s">
        <v>39</v>
      </c>
      <c r="B4" s="8"/>
    </row>
    <row r="5" customFormat="false" ht="15" hidden="false" customHeight="false" outlineLevel="0" collapsed="false">
      <c r="A5" s="2" t="s">
        <v>40</v>
      </c>
      <c r="B5" s="8"/>
    </row>
    <row r="6" customFormat="false" ht="15" hidden="false" customHeight="false" outlineLevel="0" collapsed="false">
      <c r="A6" s="2" t="s">
        <v>41</v>
      </c>
      <c r="B6" s="9"/>
    </row>
    <row r="7" customFormat="false" ht="15" hidden="false" customHeight="false" outlineLevel="0" collapsed="false">
      <c r="A7" s="2" t="s">
        <v>42</v>
      </c>
      <c r="B7" s="8"/>
    </row>
    <row r="8" customFormat="false" ht="15" hidden="false" customHeight="false" outlineLevel="0" collapsed="false">
      <c r="A8" s="2" t="s">
        <v>43</v>
      </c>
      <c r="B8" s="10"/>
    </row>
    <row r="9" customFormat="false" ht="15" hidden="false" customHeight="false" outlineLevel="0" collapsed="false">
      <c r="A9" s="2" t="s">
        <v>44</v>
      </c>
      <c r="B9" s="8"/>
    </row>
    <row r="10" customFormat="false" ht="15" hidden="false" customHeight="false" outlineLevel="0" collapsed="false">
      <c r="A10" s="2" t="s">
        <v>45</v>
      </c>
      <c r="B10" s="8"/>
    </row>
    <row r="11" customFormat="false" ht="15" hidden="false" customHeight="false" outlineLevel="0" collapsed="false">
      <c r="A11" s="2" t="s">
        <v>46</v>
      </c>
      <c r="B11" s="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2026-09-25T09:29:56Z</dcterms:created>
  <dc:creator>openpyxl</dc:creator>
  <dc:description/>
  <dc:language>en-US</dc:language>
  <cp:lastModifiedBy/>
  <dcterms:modified xsi:type="dcterms:W3CDTF">2026-09-25T09:29:56Z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