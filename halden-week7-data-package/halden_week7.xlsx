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_clusters" sheetId="2" state="visible" r:id="rId4"/>
    <sheet name="D_rival_move" sheetId="3" state="visible" r:id="rId5"/>
    <sheet name="D_capacity_payoffs" sheetId="4" state="visible" r:id="rId6"/>
    <sheet name="D_window3_params" sheetId="5" state="visible" r:id="rId7"/>
    <sheet name="D_cohort_states" sheetId="6" state="visible" r:id="rId8"/>
    <sheet name="D_worked_example_markets" sheetId="7" state="visible" r:id="rId9"/>
    <sheet name="Worked Example" sheetId="8" state="visible" r:id="rId10"/>
    <sheet name="Your Analysi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<sst xmlns="http://schemas.openxmlformats.org/spreadsheetml/2006/main" count="83" uniqueCount="73">
  <si>
    <t xml:space="preserve">Halden Energy — Week 7: Competitive response — two market structures</t>
  </si>
  <si>
    <t xml:space="preserve">A Gulf Coast rival cuts street prices 6c/gal in Cordell's markets and announces a refinery expansion.</t>
  </si>
  <si>
    <t xml:space="preserve">Retail is local price competition. Refining capacity is a commitment game where the announcement may be the move. Different structures, different answers.</t>
  </si>
  <si>
    <t xml:space="preserve">Cohort feedback window 3: the class's combined retail pricing aggression sets the Cordell non-fuel margin you all face in Week 9.</t>
  </si>
  <si>
    <t xml:space="preserve">Tabs: D_* = canonical data (read-only). Worked Example = solved on adjacent data. Your Analysis = fill the yellow cells.</t>
  </si>
  <si>
    <t xml:space="preserve">Legend: blue = input, black = formula, yellow = you fill in.</t>
  </si>
  <si>
    <t xml:space="preserve">cluster</t>
  </si>
  <si>
    <t xml:space="preserve">elasticity</t>
  </si>
  <si>
    <t xml:space="preserve">passthrough</t>
  </si>
  <si>
    <t xml:space="preserve">annual_volume_mgal</t>
  </si>
  <si>
    <t xml:space="preserve">core</t>
  </si>
  <si>
    <t xml:space="preserve">urban_high_comp</t>
  </si>
  <si>
    <t xml:space="preserve">no</t>
  </si>
  <si>
    <t xml:space="preserve">suburban_mid_comp</t>
  </si>
  <si>
    <t xml:space="preserve">yes</t>
  </si>
  <si>
    <t xml:space="preserve">rural_low_comp</t>
  </si>
  <si>
    <t xml:space="preserve">interstate</t>
  </si>
  <si>
    <t xml:space="preserve">parameter</t>
  </si>
  <si>
    <t xml:space="preserve">value</t>
  </si>
  <si>
    <t xml:space="preserve">street_cut</t>
  </si>
  <si>
    <t xml:space="preserve">pump_base</t>
  </si>
  <si>
    <t xml:space="preserve">fuel_margin</t>
  </si>
  <si>
    <t xml:space="preserve">nonfuel_per_fill</t>
  </si>
  <si>
    <t xml:space="preserve">gallons_per_fill</t>
  </si>
  <si>
    <t xml:space="preserve">rival_build_probability</t>
  </si>
  <si>
    <t xml:space="preserve">cell_id</t>
  </si>
  <si>
    <t xml:space="preserve">halden_action</t>
  </si>
  <si>
    <t xml:space="preserve">rival_outcome</t>
  </si>
  <si>
    <t xml:space="preserve">payoff_musd</t>
  </si>
  <si>
    <t xml:space="preserve">hold_builds</t>
  </si>
  <si>
    <t xml:space="preserve">hold</t>
  </si>
  <si>
    <t xml:space="preserve">builds</t>
  </si>
  <si>
    <t xml:space="preserve">hold_bluffs</t>
  </si>
  <si>
    <t xml:space="preserve">bluffs</t>
  </si>
  <si>
    <t xml:space="preserve">match_builds</t>
  </si>
  <si>
    <t xml:space="preserve">match</t>
  </si>
  <si>
    <t xml:space="preserve">match_bluffs</t>
  </si>
  <si>
    <t xml:space="preserve">base_nonfuel</t>
  </si>
  <si>
    <t xml:space="preserve">slope</t>
  </si>
  <si>
    <t xml:space="preserve">pivot</t>
  </si>
  <si>
    <t xml:space="preserve">state</t>
  </si>
  <si>
    <t xml:space="preserve">aggression</t>
  </si>
  <si>
    <t xml:space="preserve">price_war</t>
  </si>
  <si>
    <t xml:space="preserve">base</t>
  </si>
  <si>
    <t xml:space="preserve">disciplined</t>
  </si>
  <si>
    <t xml:space="preserve">station_elasticity_elastic</t>
  </si>
  <si>
    <t xml:space="preserve">station_elasticity_inelastic</t>
  </si>
  <si>
    <t xml:space="preserve">cut</t>
  </si>
  <si>
    <t xml:space="preserve">pump</t>
  </si>
  <si>
    <t xml:space="preserve">margin</t>
  </si>
  <si>
    <t xml:space="preserve">volume</t>
  </si>
  <si>
    <t xml:space="preserve">Worked Example — solved on adjacent data. Study the method, then do Your Analysis.</t>
  </si>
  <si>
    <t xml:space="preserve">Station-level switching (elasticity −20) versus market-level demand (−0.03). Matching pays only when customers switch stations on small price gaps.</t>
  </si>
  <si>
    <t xml:space="preserve">Ignore cost — station-level elastic market</t>
  </si>
  <si>
    <t xml:space="preserve">Ignore cost — inelastic market</t>
  </si>
  <si>
    <t xml:space="preserve">Match cost (either market)</t>
  </si>
  <si>
    <t xml:space="preserve">Your Analysis — fill the YELLOW cells</t>
  </si>
  <si>
    <t xml:space="preserve">Volume at risk (%) = elasticity × (cut / pump) × 100. Value lost per gallon = fuel margin + non-fuel per fill ÷ gallons per fill.</t>
  </si>
  <si>
    <t xml:space="preserve">Volume at risk (%) if you ignore the cut — urban_high_comp</t>
  </si>
  <si>
    <t xml:space="preserve">Volume at risk (%) if you ignore the cut — suburban_mid_comp</t>
  </si>
  <si>
    <t xml:space="preserve">Volume at risk (%) if you ignore the cut — rural_low_comp</t>
  </si>
  <si>
    <t xml:space="preserve">Volume at risk (%) if you ignore the cut — interstate</t>
  </si>
  <si>
    <t xml:space="preserve">Cost of matching ($M/yr) — suburban_mid_comp</t>
  </si>
  <si>
    <t xml:space="preserve">Cost of ignoring ($M/yr, fuel + non-fuel) — suburban_mid_comp</t>
  </si>
  <si>
    <t xml:space="preserve">Cost of matching ($M/yr) — rural_low_comp</t>
  </si>
  <si>
    <t xml:space="preserve">Cost of ignoring ($M/yr, fuel + non-fuel) — rural_low_comp</t>
  </si>
  <si>
    <t xml:space="preserve">Expected payoff of HOLDING capacity ($M/yr)</t>
  </si>
  <si>
    <t xml:space="preserve">Expected payoff of MATCHING the expansion ($M/yr)</t>
  </si>
  <si>
    <t xml:space="preserve">Breakeven rival build probability (below this, matching pays)</t>
  </si>
  <si>
    <t xml:space="preserve">Week 9 Cordell non-fuel margin if the cohort is price war ($/fill)</t>
  </si>
  <si>
    <t xml:space="preserve">Week 9 Cordell non-fuel margin if the cohort is base ($/fill)</t>
  </si>
  <si>
    <t xml:space="preserve">Week 9 Cordell non-fuel margin if the cohort is disciplined ($/fill)</t>
  </si>
  <si>
    <t xml:space="preserve">Capacity decision (hold / match)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</si>
</sst>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0.0000"/>
    <numFmt numFmtId="167" formatCode="0.000"/>
    <numFmt numFmtId="168" formatCode="\$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</row>
    <row r="2" customFormat="false" ht="15" hidden="false" customHeight="false" outlineLevel="0" collapsed="false">
      <c r="A2" s="4" t="s">
        <v>11</v>
      </c>
      <c r="B2" s="4" t="n">
        <v>-0.11</v>
      </c>
      <c r="C2" s="4" t="n">
        <v>0.82</v>
      </c>
      <c r="D2" s="4" t="n">
        <v>1100</v>
      </c>
      <c r="E2" s="4" t="s">
        <v>12</v>
      </c>
    </row>
    <row r="3" customFormat="false" ht="15" hidden="false" customHeight="false" outlineLevel="0" collapsed="false">
      <c r="A3" s="4" t="s">
        <v>13</v>
      </c>
      <c r="B3" s="4" t="n">
        <v>-0.06</v>
      </c>
      <c r="C3" s="4" t="n">
        <v>0.62</v>
      </c>
      <c r="D3" s="4" t="n">
        <v>1900</v>
      </c>
      <c r="E3" s="4" t="s">
        <v>14</v>
      </c>
    </row>
    <row r="4" customFormat="false" ht="15" hidden="false" customHeight="false" outlineLevel="0" collapsed="false">
      <c r="A4" s="4" t="s">
        <v>15</v>
      </c>
      <c r="B4" s="4" t="n">
        <v>-0.02</v>
      </c>
      <c r="C4" s="4" t="n">
        <v>0.42</v>
      </c>
      <c r="D4" s="4" t="n">
        <v>1250</v>
      </c>
      <c r="E4" s="4" t="s">
        <v>14</v>
      </c>
    </row>
    <row r="5" customFormat="false" ht="15" hidden="false" customHeight="false" outlineLevel="0" collapsed="false">
      <c r="A5" s="4" t="s">
        <v>16</v>
      </c>
      <c r="B5" s="4" t="n">
        <v>-0.05</v>
      </c>
      <c r="C5" s="4" t="n">
        <v>0.55</v>
      </c>
      <c r="D5" s="4" t="n">
        <v>750</v>
      </c>
      <c r="E5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19</v>
      </c>
      <c r="B2" s="4" t="n">
        <v>0.06</v>
      </c>
    </row>
    <row r="3" customFormat="false" ht="15" hidden="false" customHeight="false" outlineLevel="0" collapsed="false">
      <c r="A3" s="4" t="s">
        <v>20</v>
      </c>
      <c r="B3" s="4" t="n">
        <v>3.2</v>
      </c>
    </row>
    <row r="4" customFormat="false" ht="15" hidden="false" customHeight="false" outlineLevel="0" collapsed="false">
      <c r="A4" s="4" t="s">
        <v>21</v>
      </c>
      <c r="B4" s="4" t="n">
        <v>0.11</v>
      </c>
    </row>
    <row r="5" customFormat="false" ht="15" hidden="false" customHeight="false" outlineLevel="0" collapsed="false">
      <c r="A5" s="4" t="s">
        <v>22</v>
      </c>
      <c r="B5" s="4" t="n">
        <v>0.42</v>
      </c>
    </row>
    <row r="6" customFormat="false" ht="15" hidden="false" customHeight="false" outlineLevel="0" collapsed="false">
      <c r="A6" s="4" t="s">
        <v>23</v>
      </c>
      <c r="B6" s="4" t="n">
        <v>12</v>
      </c>
    </row>
    <row r="7" customFormat="false" ht="15" hidden="false" customHeight="false" outlineLevel="0" collapsed="false">
      <c r="A7" s="4" t="s">
        <v>24</v>
      </c>
      <c r="B7" s="4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5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3" t="s">
        <v>25</v>
      </c>
      <c r="B1" s="3" t="s">
        <v>26</v>
      </c>
      <c r="C1" s="3" t="s">
        <v>27</v>
      </c>
      <c r="D1" s="3" t="s">
        <v>28</v>
      </c>
    </row>
    <row r="2" customFormat="false" ht="15" hidden="false" customHeight="false" outlineLevel="0" collapsed="false">
      <c r="A2" s="4" t="s">
        <v>29</v>
      </c>
      <c r="B2" s="4" t="s">
        <v>30</v>
      </c>
      <c r="C2" s="4" t="s">
        <v>31</v>
      </c>
      <c r="D2" s="4" t="n">
        <v>-40</v>
      </c>
    </row>
    <row r="3" customFormat="false" ht="15" hidden="false" customHeight="false" outlineLevel="0" collapsed="false">
      <c r="A3" s="4" t="s">
        <v>32</v>
      </c>
      <c r="B3" s="4" t="s">
        <v>30</v>
      </c>
      <c r="C3" s="4" t="s">
        <v>33</v>
      </c>
      <c r="D3" s="4" t="n">
        <v>0</v>
      </c>
    </row>
    <row r="4" customFormat="false" ht="15" hidden="false" customHeight="false" outlineLevel="0" collapsed="false">
      <c r="A4" s="4" t="s">
        <v>34</v>
      </c>
      <c r="B4" s="4" t="s">
        <v>35</v>
      </c>
      <c r="C4" s="4" t="s">
        <v>31</v>
      </c>
      <c r="D4" s="4" t="n">
        <v>-140</v>
      </c>
    </row>
    <row r="5" customFormat="false" ht="15" hidden="false" customHeight="false" outlineLevel="0" collapsed="false">
      <c r="A5" s="4" t="s">
        <v>36</v>
      </c>
      <c r="B5" s="4" t="s">
        <v>35</v>
      </c>
      <c r="C5" s="4" t="s">
        <v>33</v>
      </c>
      <c r="D5" s="4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37</v>
      </c>
      <c r="B2" s="4" t="n">
        <v>0.42</v>
      </c>
    </row>
    <row r="3" customFormat="false" ht="15" hidden="false" customHeight="false" outlineLevel="0" collapsed="false">
      <c r="A3" s="4" t="s">
        <v>38</v>
      </c>
      <c r="B3" s="4" t="n">
        <v>0.1</v>
      </c>
    </row>
    <row r="4" customFormat="false" ht="15" hidden="false" customHeight="false" outlineLevel="0" collapsed="false">
      <c r="A4" s="4" t="s">
        <v>39</v>
      </c>
      <c r="B4" s="4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40</v>
      </c>
      <c r="B1" s="3" t="s">
        <v>41</v>
      </c>
    </row>
    <row r="2" customFormat="false" ht="15" hidden="false" customHeight="false" outlineLevel="0" collapsed="false">
      <c r="A2" s="4" t="s">
        <v>42</v>
      </c>
      <c r="B2" s="4" t="n">
        <v>0.9</v>
      </c>
    </row>
    <row r="3" customFormat="false" ht="15" hidden="false" customHeight="false" outlineLevel="0" collapsed="false">
      <c r="A3" s="4" t="s">
        <v>43</v>
      </c>
      <c r="B3" s="4" t="n">
        <v>0.5</v>
      </c>
    </row>
    <row r="4" customFormat="false" ht="15" hidden="false" customHeight="false" outlineLevel="0" collapsed="false">
      <c r="A4" s="4" t="s">
        <v>44</v>
      </c>
      <c r="B4" s="4" t="n">
        <v>0.2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</cols>
  <sheetData>
    <row r="1" customFormat="false" ht="15" hidden="false" customHeight="false" outlineLevel="0" collapsed="false">
      <c r="A1" s="3" t="s">
        <v>17</v>
      </c>
      <c r="B1" s="3" t="s">
        <v>18</v>
      </c>
    </row>
    <row r="2" customFormat="false" ht="15" hidden="false" customHeight="false" outlineLevel="0" collapsed="false">
      <c r="A2" s="4" t="s">
        <v>45</v>
      </c>
      <c r="B2" s="4" t="n">
        <v>-20</v>
      </c>
    </row>
    <row r="3" customFormat="false" ht="15" hidden="false" customHeight="false" outlineLevel="0" collapsed="false">
      <c r="A3" s="4" t="s">
        <v>46</v>
      </c>
      <c r="B3" s="4" t="n">
        <v>-0.03</v>
      </c>
    </row>
    <row r="4" customFormat="false" ht="15" hidden="false" customHeight="false" outlineLevel="0" collapsed="false">
      <c r="A4" s="4" t="s">
        <v>47</v>
      </c>
      <c r="B4" s="4" t="n">
        <v>0.1</v>
      </c>
    </row>
    <row r="5" customFormat="false" ht="15" hidden="false" customHeight="false" outlineLevel="0" collapsed="false">
      <c r="A5" s="4" t="s">
        <v>48</v>
      </c>
      <c r="B5" s="4" t="n">
        <v>3.2</v>
      </c>
    </row>
    <row r="6" customFormat="false" ht="15" hidden="false" customHeight="false" outlineLevel="0" collapsed="false">
      <c r="A6" s="4" t="s">
        <v>49</v>
      </c>
      <c r="B6" s="4" t="n">
        <v>0.2</v>
      </c>
    </row>
    <row r="7" customFormat="false" ht="15" hidden="false" customHeight="false" outlineLevel="0" collapsed="false">
      <c r="A7" s="4" t="s">
        <v>50</v>
      </c>
      <c r="B7" s="4" t="n">
        <v>1000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1" t="s">
        <v>51</v>
      </c>
    </row>
    <row r="2" customFormat="false" ht="15" hidden="false" customHeight="false" outlineLevel="0" collapsed="false">
      <c r="A2" s="5" t="s">
        <v>52</v>
      </c>
    </row>
    <row r="4" customFormat="false" ht="15" hidden="false" customHeight="false" outlineLevel="0" collapsed="false">
      <c r="A4" s="2" t="s">
        <v>53</v>
      </c>
      <c r="B4" s="6" t="n">
        <f aca="false">D_worked_example_markets!B6*D_worked_example_markets!B7*ABS(D_worked_example_markets!B2*(D_worked_example_markets!B4/D_worked_example_markets!B5))</f>
        <v>125</v>
      </c>
    </row>
    <row r="5" customFormat="false" ht="15" hidden="false" customHeight="false" outlineLevel="0" collapsed="false">
      <c r="A5" s="2" t="s">
        <v>54</v>
      </c>
      <c r="B5" s="6" t="n">
        <f aca="false">D_worked_example_markets!B6*D_worked_example_markets!B7*ABS(D_worked_example_markets!B3*(D_worked_example_markets!B4/D_worked_example_markets!B5))</f>
        <v>0.1875</v>
      </c>
    </row>
    <row r="6" customFormat="false" ht="15" hidden="false" customHeight="false" outlineLevel="0" collapsed="false">
      <c r="A6" s="2" t="s">
        <v>55</v>
      </c>
      <c r="B6" s="6" t="n">
        <f aca="false">D_worked_example_markets!B4*D_worked_example_markets!B7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4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56</v>
      </c>
    </row>
    <row r="2" customFormat="false" ht="15" hidden="false" customHeight="false" outlineLevel="0" collapsed="false">
      <c r="A2" s="5" t="s">
        <v>57</v>
      </c>
    </row>
    <row r="4" customFormat="false" ht="15" hidden="false" customHeight="false" outlineLevel="0" collapsed="false">
      <c r="A4" s="2" t="s">
        <v>58</v>
      </c>
      <c r="B4" s="7"/>
    </row>
    <row r="5" customFormat="false" ht="15" hidden="false" customHeight="false" outlineLevel="0" collapsed="false">
      <c r="A5" s="2" t="s">
        <v>59</v>
      </c>
      <c r="B5" s="7"/>
    </row>
    <row r="6" customFormat="false" ht="15" hidden="false" customHeight="false" outlineLevel="0" collapsed="false">
      <c r="A6" s="2" t="s">
        <v>60</v>
      </c>
      <c r="B6" s="7"/>
    </row>
    <row r="7" customFormat="false" ht="15" hidden="false" customHeight="false" outlineLevel="0" collapsed="false">
      <c r="A7" s="2" t="s">
        <v>61</v>
      </c>
      <c r="B7" s="7"/>
    </row>
    <row r="8" customFormat="false" ht="15" hidden="false" customHeight="false" outlineLevel="0" collapsed="false">
      <c r="A8" s="2" t="s">
        <v>62</v>
      </c>
      <c r="B8" s="8"/>
    </row>
    <row r="9" customFormat="false" ht="15" hidden="false" customHeight="false" outlineLevel="0" collapsed="false">
      <c r="A9" s="2" t="s">
        <v>63</v>
      </c>
      <c r="B9" s="8"/>
    </row>
    <row r="10" customFormat="false" ht="15" hidden="false" customHeight="false" outlineLevel="0" collapsed="false">
      <c r="A10" s="2" t="s">
        <v>64</v>
      </c>
      <c r="B10" s="8"/>
    </row>
    <row r="11" customFormat="false" ht="15" hidden="false" customHeight="false" outlineLevel="0" collapsed="false">
      <c r="A11" s="2" t="s">
        <v>65</v>
      </c>
      <c r="B11" s="8"/>
    </row>
    <row r="12" customFormat="false" ht="15" hidden="false" customHeight="false" outlineLevel="0" collapsed="false">
      <c r="A12" s="2" t="s">
        <v>66</v>
      </c>
      <c r="B12" s="8"/>
    </row>
    <row r="13" customFormat="false" ht="15" hidden="false" customHeight="false" outlineLevel="0" collapsed="false">
      <c r="A13" s="2" t="s">
        <v>67</v>
      </c>
      <c r="B13" s="8"/>
    </row>
    <row r="14" customFormat="false" ht="15" hidden="false" customHeight="false" outlineLevel="0" collapsed="false">
      <c r="A14" s="2" t="s">
        <v>68</v>
      </c>
      <c r="B14" s="9"/>
    </row>
    <row r="15" customFormat="false" ht="15" hidden="false" customHeight="false" outlineLevel="0" collapsed="false">
      <c r="A15" s="2" t="s">
        <v>69</v>
      </c>
      <c r="B15" s="10"/>
    </row>
    <row r="16" customFormat="false" ht="15" hidden="false" customHeight="false" outlineLevel="0" collapsed="false">
      <c r="A16" s="2" t="s">
        <v>70</v>
      </c>
      <c r="B16" s="10"/>
    </row>
    <row r="17" customFormat="false" ht="15" hidden="false" customHeight="false" outlineLevel="0" collapsed="false">
      <c r="A17" s="2" t="s">
        <v>71</v>
      </c>
      <c r="B17" s="10"/>
    </row>
    <row r="18" customFormat="false" ht="15" hidden="false" customHeight="false" outlineLevel="0" collapsed="false">
      <c r="A18" s="2" t="s">
        <v>72</v>
      </c>
      <c r="B18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2026-09-25T09:27:48Z</dcterms:created>
  <dc:creator>openpyxl</dc:creator>
  <dc:description/>
  <dc:language>en-US</dc:language>
  <cp:lastModifiedBy/>
  <dcterms:modified xsi:type="dcterms:W3CDTF">2026-09-25T09:27:48Z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