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product_elasticities" sheetId="2" state="visible" r:id="rId4"/>
    <sheet name="D_refinery_yields" sheetId="3" state="visible" r:id="rId5"/>
    <sheet name="D_recession_params" sheetId="4" state="visible" r:id="rId6"/>
    <sheet name="D_binding_rules" sheetId="5" state="visible" r:id="rId7"/>
    <sheet name="D_team_prior_state" sheetId="6" state="visible" r:id="rId8"/>
    <sheet name="Worked Example" sheetId="7" state="visible" r:id="rId9"/>
    <sheet name="You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<sst xmlns="http://schemas.openxmlformats.org/spreadsheetml/2006/main" count="60" uniqueCount="55">
  <si>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Halden Energy — Week 10: The cycle turns — where the consequences converge — FACULTY SOLUTION</t>
  </si>
  <si>
    <t xml:space="preserve">A recession arrives: GDP falls 3%. Demand falls unevenly by product — jet collapses, gasoline barely moves — so each refinery's product mix sets its exposure.</t>
  </si>
  <si>
    <t xml:space="preserve">This is the convergence week. Five earlier decisions come due at once: Week 6 cancellable capex, Week 5 hedge coverage, the Week 4 transfer price (Delacroix's cover), Straits Pacific standing, and the Week 8 cash cushion.</t>
  </si>
  <si>
    <t xml:space="preserve">Part A computes the demand hit. Part B applies the binding rules to a team's prior-week state and finds which constraints bind.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</si>
  <si>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</si>
  <si>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</si>
  <si>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product</t>
  </si>
  <si>
    <t xml:space="preserve">income_elasticity</t>
  </si>
  <si>
    <t xml:space="preserve">demand_share_blended</t>
  </si>
  <si>
    <t xml:space="preserve">gasoline</t>
  </si>
  <si>
    <t xml:space="preserve">diesel</t>
  </si>
  <si>
    <t xml:space="preserve">jet</t>
  </si>
  <si>
    <t xml:space="preserve">refinery</t>
  </si>
  <si>
    <t xml:space="preserve">other</t>
  </si>
  <si>
    <t xml:space="preserve">Baton Rouge</t>
  </si>
  <si>
    <t xml:space="preserve">Rotterdam</t>
  </si>
  <si>
    <t xml:space="preserve">Singapore</t>
  </si>
  <si>
    <t xml:space="preserve">parameter</t>
  </si>
  <si>
    <t xml:space="preserve">value</t>
  </si>
  <si>
    <t xml:space="preserve">gdp_change</t>
  </si>
  <si>
    <t xml:space="preserve">min_cancellable_capex_musd</t>
  </si>
  <si>
    <t xml:space="preserve">min_crude_hedge_coverage</t>
  </si>
  <si>
    <t xml:space="preserve">min_cash_cushion_musd</t>
  </si>
  <si>
    <t xml:space="preserve">team</t>
  </si>
  <si>
    <t xml:space="preserve">cancellable_capex_musd</t>
  </si>
  <si>
    <t xml:space="preserve">crude_hedge_coverage</t>
  </si>
  <si>
    <t xml:space="preserve">br_reported_margin_strong</t>
  </si>
  <si>
    <t xml:space="preserve">straits_pacific_standing</t>
  </si>
  <si>
    <t xml:space="preserve">cash_cushion_musd</t>
  </si>
  <si>
    <t xml:space="preserve">origin_note</t>
  </si>
  <si>
    <t xml:space="preserve">reference_disciplined</t>
  </si>
  <si>
    <t xml:space="preserve">cooperative</t>
  </si>
  <si>
    <t xml:space="preserve">Stayed liquid in Wk6; wide Wk5 mandate; marginal-cost TP in Wk4; managed the JV partner; read Wk8 well</t>
  </si>
  <si>
    <t xml:space="preserve">reference_constrained</t>
  </si>
  <si>
    <t xml:space="preserve">strained</t>
  </si>
  <si>
    <t xml:space="preserve">Funded Helix in Wk6; narrow Wk5 mandate; market-based TP in Wk4; burned the JV partner; misread Wk8</t>
  </si>
  <si>
    <t xml:space="preserve">Worked Example — solved on adjacent data. Study the method, then do Your Analysis.</t>
  </si>
  <si>
    <t xml:space="preserve">Worked on the disciplined reference team: compute Baton Rouge's product-mix hit, then apply the five binding rules. Nothing binds. That team has room to choose.</t>
  </si>
  <si>
    <t xml:space="preserve">Baton Rouge product-mix demand hit</t>
  </si>
  <si>
    <t xml:space="preserve">Disciplined reference team — binding constraints</t>
  </si>
  <si>
    <t xml:space="preserve">Your Analysis — fill the YELLOW cells (faculty solution shown)</t>
  </si>
  <si>
    <t xml:space="preserve">Refinery hit = Σ (product yield × income elasticity × GDP change). A constraint binds when the team's prior state crosses its rule on D_binding_rules. Part B uses the constrained reference team.</t>
  </si>
  <si>
    <t xml:space="preserve">Demand change — gasoline</t>
  </si>
  <si>
    <t xml:space="preserve">Demand change — diesel</t>
  </si>
  <si>
    <t xml:space="preserve">Demand change — jet</t>
  </si>
  <si>
    <t xml:space="preserve">Blended demand change</t>
  </si>
  <si>
    <t xml:space="preserve">Product-mix demand hit — Baton Rouge</t>
  </si>
  <si>
    <t xml:space="preserve">Product-mix demand hit — Rotterdam</t>
  </si>
  <si>
    <t xml:space="preserve">Product-mix demand hit — Singapore</t>
  </si>
  <si>
    <t xml:space="preserve">Constrained team — Cancellable capex (Week 6)</t>
  </si>
  <si>
    <t xml:space="preserve">Constrained team — Crude hedge coverage (Week 5)</t>
  </si>
  <si>
    <t xml:space="preserve">Constrained team — Baton Rouge reported margin / Delacroix cover (Week 4)</t>
  </si>
  <si>
    <t xml:space="preserve">Constrained team — Straits Pacific standing</t>
  </si>
  <si>
    <t xml:space="preserve">Constrained team — Cash cushion (Week 8)</t>
  </si>
  <si>
    <t xml:space="preserve">Constrained team — number of binding constraints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</si>
</sst>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4" t="s">
        <v>9</v>
      </c>
      <c r="B2" s="4" t="n">
        <v>0.35</v>
      </c>
      <c r="C2" s="4" t="n">
        <v>0.42</v>
      </c>
    </row>
    <row r="3" customFormat="false" ht="15" hidden="false" customHeight="false" outlineLevel="0" collapsed="false">
      <c r="A3" s="4" t="s">
        <v>10</v>
      </c>
      <c r="B3" s="4" t="n">
        <v>0.85</v>
      </c>
      <c r="C3" s="4" t="n">
        <v>0.38</v>
      </c>
    </row>
    <row r="4" customFormat="false" ht="15" hidden="false" customHeight="false" outlineLevel="0" collapsed="false">
      <c r="A4" s="4" t="s">
        <v>11</v>
      </c>
      <c r="B4" s="4" t="n">
        <v>1.6</v>
      </c>
      <c r="C4" s="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12</v>
      </c>
      <c r="B1" s="3" t="s">
        <v>9</v>
      </c>
      <c r="C1" s="3" t="s">
        <v>10</v>
      </c>
      <c r="D1" s="3" t="s">
        <v>11</v>
      </c>
      <c r="E1" s="3" t="s">
        <v>13</v>
      </c>
    </row>
    <row r="2" customFormat="false" ht="15" hidden="false" customHeight="false" outlineLevel="0" collapsed="false">
      <c r="A2" s="4" t="s">
        <v>14</v>
      </c>
      <c r="B2" s="4" t="n">
        <v>0.48</v>
      </c>
      <c r="C2" s="4" t="n">
        <v>0.32</v>
      </c>
      <c r="D2" s="4" t="n">
        <v>0.14</v>
      </c>
      <c r="E2" s="4" t="n">
        <v>0.06</v>
      </c>
    </row>
    <row r="3" customFormat="false" ht="15" hidden="false" customHeight="false" outlineLevel="0" collapsed="false">
      <c r="A3" s="4" t="s">
        <v>15</v>
      </c>
      <c r="B3" s="4" t="n">
        <v>0.32</v>
      </c>
      <c r="C3" s="4" t="n">
        <v>0.44</v>
      </c>
      <c r="D3" s="4" t="n">
        <v>0.16</v>
      </c>
      <c r="E3" s="4" t="n">
        <v>0.08</v>
      </c>
    </row>
    <row r="4" customFormat="false" ht="15" hidden="false" customHeight="false" outlineLevel="0" collapsed="false">
      <c r="A4" s="4" t="s">
        <v>16</v>
      </c>
      <c r="B4" s="4" t="n">
        <v>0.3</v>
      </c>
      <c r="C4" s="4" t="n">
        <v>0.34</v>
      </c>
      <c r="D4" s="4" t="n">
        <v>0.3</v>
      </c>
      <c r="E4" s="4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-0.03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20</v>
      </c>
      <c r="B2" s="4" t="n">
        <v>200</v>
      </c>
    </row>
    <row r="3" customFormat="false" ht="15" hidden="false" customHeight="false" outlineLevel="0" collapsed="false">
      <c r="A3" s="4" t="s">
        <v>21</v>
      </c>
      <c r="B3" s="4" t="n">
        <v>0.5</v>
      </c>
    </row>
    <row r="4" customFormat="false" ht="15" hidden="false" customHeight="false" outlineLevel="0" collapsed="false">
      <c r="A4" s="4" t="s">
        <v>22</v>
      </c>
      <c r="B4" s="4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26"/>
    <col collapsed="false" customWidth="true" hidden="false" outlineLevel="0" max="6" min="6" style="0" width="19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customFormat="false" ht="15" hidden="false" customHeight="false" outlineLevel="0" collapsed="false">
      <c r="A2" s="4" t="s">
        <v>30</v>
      </c>
      <c r="B2" s="4" t="n">
        <v>310</v>
      </c>
      <c r="C2" s="4" t="n">
        <v>0.7</v>
      </c>
      <c r="D2" s="4" t="n">
        <v>0</v>
      </c>
      <c r="E2" s="4" t="s">
        <v>31</v>
      </c>
      <c r="F2" s="4" t="n">
        <v>240</v>
      </c>
      <c r="G2" s="4" t="s">
        <v>32</v>
      </c>
    </row>
    <row r="3" customFormat="false" ht="15" hidden="false" customHeight="false" outlineLevel="0" collapsed="false">
      <c r="A3" s="4" t="s">
        <v>33</v>
      </c>
      <c r="B3" s="4" t="n">
        <v>120</v>
      </c>
      <c r="C3" s="4" t="n">
        <v>0.45</v>
      </c>
      <c r="D3" s="4" t="n">
        <v>1</v>
      </c>
      <c r="E3" s="4" t="s">
        <v>34</v>
      </c>
      <c r="F3" s="4" t="n">
        <v>85</v>
      </c>
      <c r="G3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5" t="s">
        <v>37</v>
      </c>
    </row>
    <row r="4" customFormat="false" ht="15" hidden="false" customHeight="false" outlineLevel="0" collapsed="false">
      <c r="A4" s="2" t="s">
        <v>38</v>
      </c>
      <c r="B4" s="6" t="n">
        <f aca="false">(D_refinery_yields!B2*D_product_elasticities!B2+D_refinery_yields!C2*D_product_elasticities!B3+D_refinery_yields!D2*D_product_elasticities!B4)*D_recession_params!B2</f>
        <v>-0.01992</v>
      </c>
    </row>
    <row r="5" customFormat="false" ht="15" hidden="false" customHeight="false" outlineLevel="0" collapsed="false">
      <c r="A5" s="2" t="s">
        <v>39</v>
      </c>
      <c r="B5" s="7" t="n">
        <f aca="false">IF(D_team_prior_state!B2&lt;D_binding_rules!B2,1,0)+IF(D_team_prior_state!C2&lt;D_binding_rules!B3,1,0)+IF(D_team_prior_state!D2=1,1,0)+IF(OR(D_team_prior_state!E2="strained",D_team_prior_state!E2="hostile"),1,0)+IF(D_team_prior_state!F2&lt;D_binding_rules!B4,1,0)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2" t="s">
        <v>42</v>
      </c>
      <c r="B4" s="8" t="n">
        <f aca="false">D_product_elasticities!B2*D_recession_params!B2</f>
        <v>-0.0105</v>
      </c>
    </row>
    <row r="5" customFormat="false" ht="15" hidden="false" customHeight="false" outlineLevel="0" collapsed="false">
      <c r="A5" s="2" t="s">
        <v>43</v>
      </c>
      <c r="B5" s="8" t="n">
        <f aca="false">D_product_elasticities!B3*D_recession_params!B2</f>
        <v>-0.0255</v>
      </c>
    </row>
    <row r="6" customFormat="false" ht="15" hidden="false" customHeight="false" outlineLevel="0" collapsed="false">
      <c r="A6" s="2" t="s">
        <v>44</v>
      </c>
      <c r="B6" s="8" t="n">
        <f aca="false">D_product_elasticities!B4*D_recession_params!B2</f>
        <v>-0.048</v>
      </c>
    </row>
    <row r="7" customFormat="false" ht="15" hidden="false" customHeight="false" outlineLevel="0" collapsed="false">
      <c r="A7" s="2" t="s">
        <v>45</v>
      </c>
      <c r="B7" s="8" t="n">
        <f aca="false">SUMPRODUCT(D_product_elasticities!B2:B4,D_product_elasticities!C2:C4)*D_recession_params!B2</f>
        <v>-0.0237</v>
      </c>
    </row>
    <row r="8" customFormat="false" ht="15" hidden="false" customHeight="false" outlineLevel="0" collapsed="false">
      <c r="A8" s="2" t="s">
        <v>46</v>
      </c>
      <c r="B8" s="8" t="n">
        <f aca="false">(D_refinery_yields!B2*D_product_elasticities!B2+D_refinery_yields!C2*D_product_elasticities!B3+D_refinery_yields!D2*D_product_elasticities!B4)*D_recession_params!B2</f>
        <v>-0.01992</v>
      </c>
    </row>
    <row r="9" customFormat="false" ht="15" hidden="false" customHeight="false" outlineLevel="0" collapsed="false">
      <c r="A9" s="2" t="s">
        <v>47</v>
      </c>
      <c r="B9" s="8" t="n">
        <f aca="false">(D_refinery_yields!B3*D_product_elasticities!B2+D_refinery_yields!C3*D_product_elasticities!B3+D_refinery_yields!D3*D_product_elasticities!B4)*D_recession_params!B2</f>
        <v>-0.02226</v>
      </c>
    </row>
    <row r="10" customFormat="false" ht="15" hidden="false" customHeight="false" outlineLevel="0" collapsed="false">
      <c r="A10" s="2" t="s">
        <v>48</v>
      </c>
      <c r="B10" s="8" t="n">
        <f aca="false">(D_refinery_yields!B4*D_product_elasticities!B2+D_refinery_yields!C4*D_product_elasticities!B3+D_refinery_yields!D4*D_product_elasticities!B4)*D_recession_params!B2</f>
        <v>-0.02622</v>
      </c>
    </row>
    <row r="11" customFormat="false" ht="15" hidden="false" customHeight="false" outlineLevel="0" collapsed="false">
      <c r="A11" s="2" t="s">
        <v>49</v>
      </c>
      <c r="B11" s="9" t="str">
        <f aca="false">IF(D_team_prior_state!B3&lt;D_binding_rules!B2,"binding","not binding")</f>
        <v>binding</v>
      </c>
    </row>
    <row r="12" customFormat="false" ht="15" hidden="false" customHeight="false" outlineLevel="0" collapsed="false">
      <c r="A12" s="2" t="s">
        <v>50</v>
      </c>
      <c r="B12" s="9" t="str">
        <f aca="false">IF(D_team_prior_state!C3&lt;D_binding_rules!B3,"binding","not binding")</f>
        <v>binding</v>
      </c>
    </row>
    <row r="13" customFormat="false" ht="15" hidden="false" customHeight="false" outlineLevel="0" collapsed="false">
      <c r="A13" s="2" t="s">
        <v>51</v>
      </c>
      <c r="B13" s="9" t="str">
        <f aca="false">IF(D_team_prior_state!D3=1,"binding","not binding")</f>
        <v>binding</v>
      </c>
    </row>
    <row r="14" customFormat="false" ht="15" hidden="false" customHeight="false" outlineLevel="0" collapsed="false">
      <c r="A14" s="2" t="s">
        <v>52</v>
      </c>
      <c r="B14" s="9" t="str">
        <f aca="false">IF(OR(D_team_prior_state!E3="strained",D_team_prior_state!E3="hostile"),"binding","not binding")</f>
        <v>binding</v>
      </c>
    </row>
    <row r="15" customFormat="false" ht="15" hidden="false" customHeight="false" outlineLevel="0" collapsed="false">
      <c r="A15" s="2" t="s">
        <v>53</v>
      </c>
      <c r="B15" s="9" t="str">
        <f aca="false">IF(D_team_prior_state!F3&lt;D_binding_rules!B4,"binding","not binding")</f>
        <v>binding</v>
      </c>
    </row>
    <row r="16" customFormat="false" ht="15" hidden="false" customHeight="false" outlineLevel="0" collapsed="false">
      <c r="A16" s="2" t="s">
        <v>54</v>
      </c>
      <c r="B16" s="10" t="n">
        <f aca="false">IF(B11="binding",1,0)+IF(B12="binding",1,0)+IF(B13="binding",1,0)+IF(B14="binding",1,0)+IF(B15="binding",1,0)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2026-09-25T13:13:08Z</dcterms:created>
  <dc:creator>openpyxl</dc:creator>
  <dc:description/>
  <dc:language>en-US</dc:language>
  <cp:lastModifiedBy/>
  <dcterms:modified xsi:type="dcterms:W3CDTF">2026-09-25T13:13:08Z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